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a9419ede9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4b383f497e084c48"/>
    <x:sheet xmlns:r="http://schemas.openxmlformats.org/officeDocument/2006/relationships" name="01_Input_Config" sheetId="2" r:id="R44b7e9dd295948ed"/>
    <x:sheet xmlns:r="http://schemas.openxmlformats.org/officeDocument/2006/relationships" name="02_GBT_Compliance" sheetId="3" r:id="R430bf745c9aa40e3"/>
    <x:sheet xmlns:r="http://schemas.openxmlformats.org/officeDocument/2006/relationships" name="03_GBT_Test_Matrix" sheetId="4" r:id="R5ee05d7705f1493b"/>
    <x:sheet xmlns:r="http://schemas.openxmlformats.org/officeDocument/2006/relationships" name="04_GBT_Allocation" sheetId="5" r:id="R9f9257af34004413"/>
    <x:sheet xmlns:r="http://schemas.openxmlformats.org/officeDocument/2006/relationships" name="07_GBT_Test_Equipment" sheetId="6" r:id="R6c4368e110ce4e1a"/>
    <x:sheet xmlns:r="http://schemas.openxmlformats.org/officeDocument/2006/relationships" name="08_GBT_Safety_EMC" sheetId="7" r:id="Rb93afa1b4f354c89"/>
    <x:sheet xmlns:r="http://schemas.openxmlformats.org/officeDocument/2006/relationships" name="09_GBT_Inverter" sheetId="8" r:id="R9ed57fbae9b543c1"/>
    <x:sheet xmlns:r="http://schemas.openxmlformats.org/officeDocument/2006/relationships" name="10_System_Rating" sheetId="9" r:id="R6eaa6ab106354dad"/>
    <x:sheet xmlns:r="http://schemas.openxmlformats.org/officeDocument/2006/relationships" name="15_Phase_Channels" sheetId="10" r:id="R2814ee521c8a40be"/>
    <x:sheet xmlns:r="http://schemas.openxmlformats.org/officeDocument/2006/relationships" name="20_IAC_Hall" sheetId="11" r:id="R1224d6ddd49b46ad"/>
    <x:sheet xmlns:r="http://schemas.openxmlformats.org/officeDocument/2006/relationships" name="40_VAC" sheetId="12" r:id="R68c09a62b54740e9"/>
    <x:sheet xmlns:r="http://schemas.openxmlformats.org/officeDocument/2006/relationships" name="21_IAC_Filter" sheetId="13" r:id="R658ba73208d54804"/>
    <x:sheet xmlns:r="http://schemas.openxmlformats.org/officeDocument/2006/relationships" name="42_VAC_Filter" sheetId="14" r:id="R04ea205da4854e58"/>
    <x:sheet xmlns:r="http://schemas.openxmlformats.org/officeDocument/2006/relationships" name="30_IDC_Shunt" sheetId="15" r:id="R9a30281729444312"/>
    <x:sheet xmlns:r="http://schemas.openxmlformats.org/officeDocument/2006/relationships" name="41_VDC" sheetId="16" r:id="Rc6837503c74d40bf"/>
    <x:sheet xmlns:r="http://schemas.openxmlformats.org/officeDocument/2006/relationships" name="31_IDC_Filter" sheetId="17" r:id="R588dde8eff374c54"/>
    <x:sheet xmlns:r="http://schemas.openxmlformats.org/officeDocument/2006/relationships" name="43_VDC_Filter" sheetId="18" r:id="R253e536c7f1848da"/>
    <x:sheet xmlns:r="http://schemas.openxmlformats.org/officeDocument/2006/relationships" name="50_ADC_Timing" sheetId="19" r:id="R47d786e818c34d1c"/>
    <x:sheet xmlns:r="http://schemas.openxmlformats.org/officeDocument/2006/relationships" name="55_IAC_Delay" sheetId="20" r:id="Rd4dac19bb5fb42e9"/>
    <x:sheet xmlns:r="http://schemas.openxmlformats.org/officeDocument/2006/relationships" name="55_IDC_Delay" sheetId="21" r:id="R5020853d898041ca"/>
    <x:sheet xmlns:r="http://schemas.openxmlformats.org/officeDocument/2006/relationships" name="55_VAC_Delay" sheetId="22" r:id="R2b1ca369c1c044b9"/>
    <x:sheet xmlns:r="http://schemas.openxmlformats.org/officeDocument/2006/relationships" name="55_VDC_Delay" sheetId="23" r:id="Rf2188edc05fa4afa"/>
    <x:sheet xmlns:r="http://schemas.openxmlformats.org/officeDocument/2006/relationships" name="60_IAC_Error" sheetId="24" r:id="R403823e4aa0e47ee"/>
    <x:sheet xmlns:r="http://schemas.openxmlformats.org/officeDocument/2006/relationships" name="60_IDC_Error" sheetId="25" r:id="R0677eb0f8d4f4a67"/>
    <x:sheet xmlns:r="http://schemas.openxmlformats.org/officeDocument/2006/relationships" name="60_VAC_Error" sheetId="26" r:id="R5638e92b01ad4605"/>
    <x:sheet xmlns:r="http://schemas.openxmlformats.org/officeDocument/2006/relationships" name="60_VDC_Error" sheetId="27" r:id="Rc5cec01d012a4442"/>
    <x:sheet xmlns:r="http://schemas.openxmlformats.org/officeDocument/2006/relationships" name="90_Formula_Trace" sheetId="28" r:id="R7aabc40f303947f3"/>
    <x:sheet xmlns:r="http://schemas.openxmlformats.org/officeDocument/2006/relationships" name="80_Warnings" sheetId="29" r:id="Rb3b8e9fc75c94cfc"/>
    <x:sheet xmlns:r="http://schemas.openxmlformats.org/officeDocument/2006/relationships" name="70_Assumptions" sheetId="30" r:id="R3b900870128e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08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ab96b696442ca" /><Relationship Type="http://schemas.openxmlformats.org/officeDocument/2006/relationships/theme" Target="/xl/theme/theme1.xml" Id="Rf70766f199c34095" /><Relationship Type="http://schemas.microsoft.com/office/2022/11/relationships/FeaturePropertyBag" Target="/xl/featurePropertyBag/featurePropertyBag.xml" Id="R6cc27253f1914c68" /><Relationship Type="http://schemas.openxmlformats.org/officeDocument/2006/relationships/sharedStrings" Target="/xl/sharedStrings.xml" Id="R755f79fa287e4392" /><Relationship Type="http://schemas.openxmlformats.org/officeDocument/2006/relationships/worksheet" Target="/xl/worksheets/sheet1.xml" Id="R4b383f497e084c48" /><Relationship Type="http://schemas.openxmlformats.org/officeDocument/2006/relationships/worksheet" Target="/xl/worksheets/sheet2.xml" Id="R44b7e9dd295948ed" /><Relationship Type="http://schemas.openxmlformats.org/officeDocument/2006/relationships/worksheet" Target="/xl/worksheets/sheet3.xml" Id="R430bf745c9aa40e3" /><Relationship Type="http://schemas.openxmlformats.org/officeDocument/2006/relationships/worksheet" Target="/xl/worksheets/sheet4.xml" Id="R5ee05d7705f1493b" /><Relationship Type="http://schemas.openxmlformats.org/officeDocument/2006/relationships/worksheet" Target="/xl/worksheets/sheet5.xml" Id="R9f9257af34004413" /><Relationship Type="http://schemas.openxmlformats.org/officeDocument/2006/relationships/worksheet" Target="/xl/worksheets/sheet6.xml" Id="R6c4368e110ce4e1a" /><Relationship Type="http://schemas.openxmlformats.org/officeDocument/2006/relationships/worksheet" Target="/xl/worksheets/sheet7.xml" Id="Rb93afa1b4f354c89" /><Relationship Type="http://schemas.openxmlformats.org/officeDocument/2006/relationships/worksheet" Target="/xl/worksheets/sheet8.xml" Id="R9ed57fbae9b543c1" /><Relationship Type="http://schemas.openxmlformats.org/officeDocument/2006/relationships/worksheet" Target="/xl/worksheets/sheet9.xml" Id="R6eaa6ab106354dad" /><Relationship Type="http://schemas.openxmlformats.org/officeDocument/2006/relationships/worksheet" Target="/xl/worksheets/sheet10.xml" Id="R2814ee521c8a40be" /><Relationship Type="http://schemas.openxmlformats.org/officeDocument/2006/relationships/worksheet" Target="/xl/worksheets/sheet11.xml" Id="R1224d6ddd49b46ad" /><Relationship Type="http://schemas.openxmlformats.org/officeDocument/2006/relationships/worksheet" Target="/xl/worksheets/sheet12.xml" Id="R68c09a62b54740e9" /><Relationship Type="http://schemas.openxmlformats.org/officeDocument/2006/relationships/worksheet" Target="/xl/worksheets/sheet13.xml" Id="R658ba73208d54804" /><Relationship Type="http://schemas.openxmlformats.org/officeDocument/2006/relationships/worksheet" Target="/xl/worksheets/sheet14.xml" Id="R04ea205da4854e58" /><Relationship Type="http://schemas.openxmlformats.org/officeDocument/2006/relationships/worksheet" Target="/xl/worksheets/sheet15.xml" Id="R9a30281729444312" /><Relationship Type="http://schemas.openxmlformats.org/officeDocument/2006/relationships/worksheet" Target="/xl/worksheets/sheet16.xml" Id="Rc6837503c74d40bf" /><Relationship Type="http://schemas.openxmlformats.org/officeDocument/2006/relationships/worksheet" Target="/xl/worksheets/sheet17.xml" Id="R588dde8eff374c54" /><Relationship Type="http://schemas.openxmlformats.org/officeDocument/2006/relationships/worksheet" Target="/xl/worksheets/sheet18.xml" Id="R253e536c7f1848da" /><Relationship Type="http://schemas.openxmlformats.org/officeDocument/2006/relationships/worksheet" Target="/xl/worksheets/sheet19.xml" Id="R47d786e818c34d1c" /><Relationship Type="http://schemas.openxmlformats.org/officeDocument/2006/relationships/worksheet" Target="/xl/worksheets/sheet20.xml" Id="Rd4dac19bb5fb42e9" /><Relationship Type="http://schemas.openxmlformats.org/officeDocument/2006/relationships/worksheet" Target="/xl/worksheets/sheet21.xml" Id="R5020853d898041ca" /><Relationship Type="http://schemas.openxmlformats.org/officeDocument/2006/relationships/worksheet" Target="/xl/worksheets/sheet22.xml" Id="R2b1ca369c1c044b9" /><Relationship Type="http://schemas.openxmlformats.org/officeDocument/2006/relationships/worksheet" Target="/xl/worksheets/sheet23.xml" Id="Rf2188edc05fa4afa" /><Relationship Type="http://schemas.openxmlformats.org/officeDocument/2006/relationships/worksheet" Target="/xl/worksheets/sheet24.xml" Id="R403823e4aa0e47ee" /><Relationship Type="http://schemas.openxmlformats.org/officeDocument/2006/relationships/worksheet" Target="/xl/worksheets/sheet25.xml" Id="R0677eb0f8d4f4a67" /><Relationship Type="http://schemas.openxmlformats.org/officeDocument/2006/relationships/worksheet" Target="/xl/worksheets/sheet26.xml" Id="R5638e92b01ad4605" /><Relationship Type="http://schemas.openxmlformats.org/officeDocument/2006/relationships/worksheet" Target="/xl/worksheets/sheet27.xml" Id="Rc5cec01d012a4442" /><Relationship Type="http://schemas.openxmlformats.org/officeDocument/2006/relationships/worksheet" Target="/xl/worksheets/sheet28.xml" Id="R7aabc40f303947f3" /><Relationship Type="http://schemas.openxmlformats.org/officeDocument/2006/relationships/worksheet" Target="/xl/worksheets/sheet29.xml" Id="Rb3b8e9fc75c94cfc" /><Relationship Type="http://schemas.openxmlformats.org/officeDocument/2006/relationships/worksheet" Target="/xl/worksheets/sheet30.xml" Id="R3b900870128e4e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Table" displayName="SummaryTable" ref="A3:H28" headerRowCount="1">
  <x:tableColumns count="8">
    <x:tableColumn id="1" name="Section"/>
    <x:tableColumn id="2" name="Status"/>
    <x:tableColumn id="3" name="Metric Count"/>
    <x:tableColumn id="4" name="FAIL"/>
    <x:tableColumn id="5" name="WARNING"/>
    <x:tableColumn id="6" name="NOT EVALUATED"/>
    <x:tableColumn id="7" name="Purpose"/>
    <x:tableColumn id="8" name="Engineering Note"/>
  </x:tableColumns>
  <x:tableStyleInfo name="TableStyleMedium2" showRowStripes="1"/>
</x:table>
</file>

<file path=xl/tables/table2.xml><?xml version="1.0" encoding="utf-8"?>
<x:table xmlns:x="http://schemas.openxmlformats.org/spreadsheetml/2006/main" id="2" name="InputConfigTable" displayName="InputConfigTable" ref="A1:D169" headerRowCount="1">
  <x:tableColumns count="4">
    <x:tableColumn id="1" name="Path"/>
    <x:tableColumn id="2" name="Value"/>
    <x:tableColumn id="3" name="Type"/>
    <x:tableColumn id="4" name="Source/Qual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MetricsTable1" displayName="MetricsTable1" ref="A1:I44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MetricsTable2" displayName="MetricsTable2" ref="A1:I1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MetricsTable3" displayName="MetricsTable3" ref="A1:I1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MetricsTable4" displayName="MetricsTable4" ref="A1:I1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7.xml><?xml version="1.0" encoding="utf-8"?>
<x:table xmlns:x="http://schemas.openxmlformats.org/spreadsheetml/2006/main" id="7" name="MetricsTable5" displayName="MetricsTable5" ref="A1:I2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MetricsTable6" displayName="MetricsTable6" ref="A1:I12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MetricsTable7" displayName="MetricsTable7" ref="A1:I9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MetricsTable8" displayName="MetricsTable8" ref="A1:I2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MetricsTable9" displayName="MetricsTable9" ref="A1:I1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MetricsTable10" displayName="MetricsTable10" ref="A1:I9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MetricsTable11" displayName="MetricsTable11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4.xml><?xml version="1.0" encoding="utf-8"?>
<x:table xmlns:x="http://schemas.openxmlformats.org/spreadsheetml/2006/main" id="14" name="MetricsTable12" displayName="MetricsTable12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5.xml><?xml version="1.0" encoding="utf-8"?>
<x:table xmlns:x="http://schemas.openxmlformats.org/spreadsheetml/2006/main" id="15" name="MetricsTable13" displayName="MetricsTable13" ref="A1:I14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6.xml><?xml version="1.0" encoding="utf-8"?>
<x:table xmlns:x="http://schemas.openxmlformats.org/spreadsheetml/2006/main" id="16" name="MetricsTable14" displayName="MetricsTable14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7.xml><?xml version="1.0" encoding="utf-8"?>
<x:table xmlns:x="http://schemas.openxmlformats.org/spreadsheetml/2006/main" id="17" name="MetricsTable15" displayName="MetricsTable15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8.xml><?xml version="1.0" encoding="utf-8"?>
<x:table xmlns:x="http://schemas.openxmlformats.org/spreadsheetml/2006/main" id="18" name="MetricsTable16" displayName="MetricsTable16" ref="A1:I7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19.xml><?xml version="1.0" encoding="utf-8"?>
<x:table xmlns:x="http://schemas.openxmlformats.org/spreadsheetml/2006/main" id="19" name="MetricsTable17" displayName="MetricsTable17" ref="A1:I9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0.xml><?xml version="1.0" encoding="utf-8"?>
<x:table xmlns:x="http://schemas.openxmlformats.org/spreadsheetml/2006/main" id="20" name="MetricsTable18" displayName="MetricsTable18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1.xml><?xml version="1.0" encoding="utf-8"?>
<x:table xmlns:x="http://schemas.openxmlformats.org/spreadsheetml/2006/main" id="21" name="MetricsTable19" displayName="MetricsTable19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2.xml><?xml version="1.0" encoding="utf-8"?>
<x:table xmlns:x="http://schemas.openxmlformats.org/spreadsheetml/2006/main" id="22" name="MetricsTable20" displayName="MetricsTable20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3.xml><?xml version="1.0" encoding="utf-8"?>
<x:table xmlns:x="http://schemas.openxmlformats.org/spreadsheetml/2006/main" id="23" name="MetricsTable21" displayName="MetricsTable21" ref="A1:I8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4.xml><?xml version="1.0" encoding="utf-8"?>
<x:table xmlns:x="http://schemas.openxmlformats.org/spreadsheetml/2006/main" id="24" name="MetricsTable22" displayName="MetricsTable22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5.xml><?xml version="1.0" encoding="utf-8"?>
<x:table xmlns:x="http://schemas.openxmlformats.org/spreadsheetml/2006/main" id="25" name="MetricsTable23" displayName="MetricsTable23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6.xml><?xml version="1.0" encoding="utf-8"?>
<x:table xmlns:x="http://schemas.openxmlformats.org/spreadsheetml/2006/main" id="26" name="MetricsTable24" displayName="MetricsTable24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7.xml><?xml version="1.0" encoding="utf-8"?>
<x:table xmlns:x="http://schemas.openxmlformats.org/spreadsheetml/2006/main" id="27" name="MetricsTable25" displayName="MetricsTable25" ref="A1:I3" headerRowCount="1">
  <x:tableColumns count="9">
    <x:tableColumn id="1" name="Key"/>
    <x:tableColumn id="2" name="Metric"/>
    <x:tableColumn id="3" name="Value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8.xml><?xml version="1.0" encoding="utf-8"?>
<x:table xmlns:x="http://schemas.openxmlformats.org/spreadsheetml/2006/main" id="28" name="FormulaTraceTable" displayName="FormulaTraceTable" ref="A1:I235" headerRowCount="1">
  <x:tableColumns count="9">
    <x:tableColumn id="1" name="Section"/>
    <x:tableColumn id="2" name="Key"/>
    <x:tableColumn id="3" name="Result"/>
    <x:tableColumn id="4" name="Unit"/>
    <x:tableColumn id="5" name="Formula"/>
    <x:tableColumn id="6" name="Inputs"/>
    <x:tableColumn id="7" name="Source"/>
    <x:tableColumn id="8" name="Status"/>
    <x:tableColumn id="9" name="Note"/>
  </x:tableColumns>
  <x:tableStyleInfo name="TableStyleMedium2" showRowStripes="1"/>
</x:table>
</file>

<file path=xl/tables/table29.xml><?xml version="1.0" encoding="utf-8"?>
<x:table xmlns:x="http://schemas.openxmlformats.org/spreadsheetml/2006/main" id="29" name="WarningsTable" displayName="WarningsTable" ref="A1:E23" headerRowCount="1">
  <x:tableColumns count="5">
    <x:tableColumn id="1" name="Scope"/>
    <x:tableColumn id="2" name="Code"/>
    <x:tableColumn id="3" name="Status"/>
    <x:tableColumn id="4" name="Message"/>
    <x:tableColumn id="5" name="Recommendation"/>
  </x:tableColumns>
  <x:tableStyleInfo name="TableStyleMedium2" showRowStripes="1"/>
</x:table>
</file>

<file path=xl/tables/table30.xml><?xml version="1.0" encoding="utf-8"?>
<x:table xmlns:x="http://schemas.openxmlformats.org/spreadsheetml/2006/main" id="30" name="AssumptionsTable" displayName="AssumptionsTable" ref="A1:D9" headerRowCount="1">
  <x:tableColumns count="4">
    <x:tableColumn id="1" name="Parameter/Topic"/>
    <x:tableColumn id="2" name="Value/Assumption"/>
    <x:tableColumn id="3" name="Source Type"/>
    <x:tableColumn id="4" name="Qualification/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f881a5934841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e20459689f4f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223c00cc6544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ff614f02b304d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f457a4033e3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cdbe499e35242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886961edd694e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c4a297e7a6d49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6ec150487494b6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97a31d6636042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e65d8ea083343a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988a08d7af64f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4e2ef2cb3df4a6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91e2f47edac4f1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111f8ce26dc459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ce5d78921b8b4c3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5d6a9d8010d4f1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c05e5e193524e7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90dd272cf3fa43b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455a47b04791493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85c0ee318b1489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bf5da18ad05d408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ab17a73b705410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e2327b618dce4df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aae89c4a58474f9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07c3de959a504aa5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411c9c61ad44454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507f0cab0d4a490c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d15c196c992649b4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685447fe9ee7443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32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76.80000305175781" hidden="0" customHeight="1">
      <x:c r="A1" s="18" t="str">
        <x:v>OBC ADC Sensing Design — PMP23607_RevE2_F29H85x_MVP</x:v>
      </x:c>
      <x:c r="B1" s="18"/>
      <x:c r="C1" s="18"/>
      <x:c r="D1" s="18"/>
      <x:c r="E1" s="18"/>
      <x:c r="F1" s="18"/>
      <x:c r="G1" s="18"/>
      <x:c r="H1" s="18"/>
      <x:c r="I1" s="22"/>
      <x:c r="J1" s="22"/>
      <x:c r="K1" s="22"/>
    </x:row>
    <x:row r="2" ht="15" hidden="0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12" t="str">
        <x:v>KPI</x:v>
      </x:c>
      <x:c r="K2" s="12" t="str">
        <x:v>Value</x:v>
      </x:c>
    </x:row>
    <x:row r="3" ht="15" hidden="0" customHeight="1">
      <x:c r="A3" s="12" t="str">
        <x:v>Section</x:v>
      </x:c>
      <x:c r="B3" s="12" t="str">
        <x:v>Status</x:v>
      </x:c>
      <x:c r="C3" s="12" t="str">
        <x:v>Metric Count</x:v>
      </x:c>
      <x:c r="D3" s="12" t="str">
        <x:v>FAIL</x:v>
      </x:c>
      <x:c r="E3" s="12" t="str">
        <x:v>WARNING</x:v>
      </x:c>
      <x:c r="F3" s="12" t="str">
        <x:v>NOT EVALUATED</x:v>
      </x:c>
      <x:c r="G3" s="12" t="str">
        <x:v>Purpose</x:v>
      </x:c>
      <x:c r="H3" s="12" t="str">
        <x:v>Engineering Note</x:v>
      </x:c>
      <x:c r="I3" s="22"/>
      <x:c r="J3" s="22" t="str">
        <x:v>FAIL diagnostics</x:v>
      </x:c>
      <x:c r="K3" s="22" t="n">
        <x:f>SUM(D4:D200)</x:f>
        <x:v>3</x:v>
      </x:c>
    </x:row>
    <x:row r="4" ht="26.399999618530273" hidden="0" customHeight="1">
      <x:c r="A4" s="22" t="str">
        <x:v>02_GBT_Compliance</x:v>
      </x:c>
      <x:c r="B4" s="22" t="str">
        <x:v>WARNING</x:v>
      </x:c>
      <x:c r="C4" s="22" t="n">
        <x:v>43</x:v>
      </x:c>
      <x:c r="D4" s="22" t="n">
        <x:v>0</x:v>
      </x:c>
      <x:c r="E4" s="22" t="n">
        <x:v>2</x:v>
      </x:c>
      <x:c r="F4" s="22" t="n">
        <x:v>0</x:v>
      </x:c>
      <x:c r="G4" s="22" t="str">
        <x:v>Calculation / validation section</x:v>
      </x:c>
      <x:c r="H4" s="22" t="str">
        <x:v>Product nominal voltage 230.0 V differs from the GB/T test nominal 220.0 V.</x:v>
      </x:c>
      <x:c r="I4" s="22"/>
      <x:c r="J4" s="22" t="str">
        <x:v>WARNING diagnostics</x:v>
      </x:c>
      <x:c r="K4" s="22" t="n">
        <x:f>SUM(E4:E200)</x:f>
        <x:v>6</x:v>
      </x:c>
    </x:row>
    <x:row r="5" ht="15" hidden="0" customHeight="1">
      <x:c r="A5" s="22" t="str">
        <x:v>03_GBT_Test_Matrix</x:v>
      </x:c>
      <x:c r="B5" s="22" t="str">
        <x:v>PASS</x:v>
      </x:c>
      <x:c r="C5" s="22" t="n">
        <x:v>17</x:v>
      </x:c>
      <x:c r="D5" s="22" t="n">
        <x:v>0</x:v>
      </x:c>
      <x:c r="E5" s="22" t="n">
        <x:v>0</x:v>
      </x:c>
      <x:c r="F5" s="22" t="n">
        <x:v>0</x:v>
      </x:c>
      <x:c r="G5" s="22" t="str">
        <x:v>Calculation / validation section</x:v>
      </x:c>
      <x:c r="H5" s="22" t="str">
        <x:v>No diagnostic raised</x:v>
      </x:c>
      <x:c r="I5" s="22"/>
      <x:c r="J5" s="22" t="str">
        <x:v>Not evaluated</x:v>
      </x:c>
      <x:c r="K5" s="22" t="n">
        <x:f>SUM(F4:F200)</x:f>
        <x:v>13</x:v>
      </x:c>
    </x:row>
    <x:row r="6" ht="15" hidden="0" customHeight="1">
      <x:c r="A6" s="22" t="str">
        <x:v>04_GBT_Allocation</x:v>
      </x:c>
      <x:c r="B6" s="22" t="str">
        <x:v>PASS</x:v>
      </x:c>
      <x:c r="C6" s="22" t="n">
        <x:v>12</x:v>
      </x:c>
      <x:c r="D6" s="22" t="n">
        <x:v>0</x:v>
      </x:c>
      <x:c r="E6" s="22" t="n">
        <x:v>0</x:v>
      </x:c>
      <x:c r="F6" s="22" t="n">
        <x:v>0</x:v>
      </x:c>
      <x:c r="G6" s="22" t="str">
        <x:v>Calculation / validation section</x:v>
      </x:c>
      <x:c r="H6" s="22" t="str">
        <x:v>No diagnostic raised</x:v>
      </x:c>
      <x:c r="I6" s="22"/>
      <x:c r="J6" s="22" t="str">
        <x:v>Sections</x:v>
      </x:c>
      <x:c r="K6" s="22" t="n">
        <x:f>COUNTA(A4:A200)</x:f>
        <x:v>25</x:v>
      </x:c>
    </x:row>
    <x:row r="7" ht="15" hidden="0" customHeight="1">
      <x:c r="A7" s="22" t="str">
        <x:v>07_GBT_Test_Equipment</x:v>
      </x:c>
      <x:c r="B7" s="22" t="str">
        <x:v>PASS</x:v>
      </x:c>
      <x:c r="C7" s="22" t="n">
        <x:v>12</x:v>
      </x:c>
      <x:c r="D7" s="22" t="n">
        <x:v>0</x:v>
      </x:c>
      <x:c r="E7" s="22" t="n">
        <x:v>0</x:v>
      </x:c>
      <x:c r="F7" s="22" t="n">
        <x:v>0</x:v>
      </x:c>
      <x:c r="G7" s="22" t="str">
        <x:v>Calculation / validation section</x:v>
      </x:c>
      <x:c r="H7" s="22" t="str">
        <x:v>No diagnostic raised</x:v>
      </x:c>
      <x:c r="I7" s="22"/>
      <x:c r="J7" s="22"/>
      <x:c r="K7" s="22"/>
    </x:row>
    <x:row r="8" ht="39.599998474121094" hidden="0" customHeight="1">
      <x:c r="A8" s="22" t="str">
        <x:v>08_GBT_Safety_EMC</x:v>
      </x:c>
      <x:c r="B8" s="22" t="str">
        <x:v>WARNING</x:v>
      </x:c>
      <x:c r="C8" s="22" t="n">
        <x:v>22</x:v>
      </x:c>
      <x:c r="D8" s="22" t="n">
        <x:v>0</x:v>
      </x:c>
      <x:c r="E8" s="22" t="n">
        <x:v>0</x:v>
      </x:c>
      <x:c r="F8" s="22" t="n">
        <x:v>2</x:v>
      </x:c>
      <x:c r="G8" s="22" t="str">
        <x:v>Calculation / validation section</x:v>
      </x:c>
      <x:c r="H8" s="22" t="str">
        <x:v>No actual isolation withstand rating is configured, so dielectric compliance cannot be verified.</x:v>
      </x:c>
      <x:c r="I8" s="22"/>
      <x:c r="J8" s="22"/>
      <x:c r="K8" s="22"/>
    </x:row>
    <x:row r="9" ht="52.79999923706055" hidden="0" customHeight="1">
      <x:c r="A9" s="22" t="str">
        <x:v>09_GBT_Inverter</x:v>
      </x:c>
      <x:c r="B9" s="22" t="str">
        <x:v>WARNING</x:v>
      </x:c>
      <x:c r="C9" s="22" t="n">
        <x:v>11</x:v>
      </x:c>
      <x:c r="D9" s="22" t="n">
        <x:v>0</x:v>
      </x:c>
      <x:c r="E9" s="22" t="n">
        <x:v>0</x:v>
      </x:c>
      <x:c r="F9" s="22" t="n">
        <x:v>1</x:v>
      </x:c>
      <x:c r="G9" s="22" t="str">
        <x:v>Calculation / validation section</x:v>
      </x:c>
      <x:c r="H9" s="22" t="str">
        <x:v>The calculator now exposes reverse-power compliance requirements but does not simulate THD, dynamic recovery or grid-current DC injection.</x:v>
      </x:c>
      <x:c r="I9" s="22"/>
      <x:c r="J9" s="22"/>
      <x:c r="K9" s="22"/>
    </x:row>
    <x:row r="10" ht="15" hidden="0" customHeight="1">
      <x:c r="A10" s="22" t="str">
        <x:v>10_System_Rating</x:v>
      </x:c>
      <x:c r="B10" s="22" t="str">
        <x:v>PASS</x:v>
      </x:c>
      <x:c r="C10" s="22" t="n">
        <x:v>8</x:v>
      </x:c>
      <x:c r="D10" s="22" t="n">
        <x:v>0</x:v>
      </x:c>
      <x:c r="E10" s="22" t="n">
        <x:v>0</x:v>
      </x:c>
      <x:c r="F10" s="22" t="n">
        <x:v>0</x:v>
      </x:c>
      <x:c r="G10" s="22" t="str">
        <x:v>Calculation / validation section</x:v>
      </x:c>
      <x:c r="H10" s="22" t="str">
        <x:v>No diagnostic raised</x:v>
      </x:c>
      <x:c r="I10" s="22"/>
      <x:c r="J10" s="22"/>
      <x:c r="K10" s="22"/>
    </x:row>
    <x:row r="11" ht="15" hidden="0" customHeight="1">
      <x:c r="A11" s="22" t="str">
        <x:v>15_Phase_Channels</x:v>
      </x:c>
      <x:c r="B11" s="22" t="str">
        <x:v>PASS</x:v>
      </x:c>
      <x:c r="C11" s="22" t="n">
        <x:v>1</x:v>
      </x:c>
      <x:c r="D11" s="22" t="n">
        <x:v>0</x:v>
      </x:c>
      <x:c r="E11" s="22" t="n">
        <x:v>0</x:v>
      </x:c>
      <x:c r="F11" s="22" t="n">
        <x:v>0</x:v>
      </x:c>
      <x:c r="G11" s="22" t="str">
        <x:v>Calculation / validation section</x:v>
      </x:c>
      <x:c r="H11" s="22" t="str">
        <x:v>No diagnostic raised</x:v>
      </x:c>
      <x:c r="I11" s="22"/>
      <x:c r="J11" s="22"/>
      <x:c r="K11" s="22"/>
    </x:row>
    <x:row r="12" ht="26.399999618530273" hidden="0" customHeight="1">
      <x:c r="A12" s="22" t="str">
        <x:v>20_IAC_Hall</x:v>
      </x:c>
      <x:c r="B12" s="22" t="str">
        <x:v>WARNING</x:v>
      </x:c>
      <x:c r="C12" s="22" t="n">
        <x:v>12</x:v>
      </x:c>
      <x:c r="D12" s="22" t="n">
        <x:v>0</x:v>
      </x:c>
      <x:c r="E12" s="22" t="n">
        <x:v>1</x:v>
      </x:c>
      <x:c r="F12" s="22" t="n">
        <x:v>0</x:v>
      </x:c>
      <x:c r="G12" s="22" t="str">
        <x:v>Calculation / validation section</x:v>
      </x:c>
      <x:c r="H12" s="22" t="str">
        <x:v>Only 26.8% of ADC full scale is used at the PMP23607 design current.</x:v>
      </x:c>
      <x:c r="I12" s="22"/>
      <x:c r="J12" s="22"/>
      <x:c r="K12" s="22"/>
    </x:row>
    <x:row r="13" ht="26.399999618530273" hidden="0" customHeight="1">
      <x:c r="A13" s="22" t="str">
        <x:v>40_VAC</x:v>
      </x:c>
      <x:c r="B13" s="22" t="str">
        <x:v>FAIL</x:v>
      </x:c>
      <x:c r="C13" s="22" t="n">
        <x:v>8</x:v>
      </x:c>
      <x:c r="D13" s="22" t="n">
        <x:v>2</x:v>
      </x:c>
      <x:c r="E13" s="22" t="n">
        <x:v>0</x:v>
      </x:c>
      <x:c r="F13" s="22" t="n">
        <x:v>0</x:v>
      </x:c>
      <x:c r="G13" s="22" t="str">
        <x:v>Calculation / validation section</x:v>
      </x:c>
      <x:c r="H13" s="22" t="str">
        <x:v>VAC divider drives the isolation input to 1.432 V, beyond the ±1.000 V linear range.</x:v>
      </x:c>
      <x:c r="I13" s="22"/>
      <x:c r="J13" s="22"/>
      <x:c r="K13" s="22"/>
    </x:row>
    <x:row r="14" ht="26.399999618530273" hidden="0" customHeight="1">
      <x:c r="A14" s="22" t="str">
        <x:v>21_IAC_Filter</x:v>
      </x:c>
      <x:c r="B14" s="22" t="str">
        <x:v>WARNING</x:v>
      </x:c>
      <x:c r="C14" s="22" t="n">
        <x:v>6</x:v>
      </x:c>
      <x:c r="D14" s="22" t="n">
        <x:v>0</x:v>
      </x:c>
      <x:c r="E14" s="22" t="n">
        <x:v>1</x:v>
      </x:c>
      <x:c r="F14" s="22" t="n">
        <x:v>0</x:v>
      </x:c>
      <x:c r="G14" s="22" t="str">
        <x:v>Calculation / validation section</x:v>
      </x:c>
      <x:c r="H14" s="22" t="str">
        <x:v>Single-pole attenuation at switching frequency is only -2.8 dB.</x:v>
      </x:c>
      <x:c r="I14" s="22"/>
      <x:c r="J14" s="22"/>
      <x:c r="K14" s="22"/>
    </x:row>
    <x:row r="15" ht="26.399999618530273" hidden="0" customHeight="1">
      <x:c r="A15" s="22" t="str">
        <x:v>42_VAC_Filter</x:v>
      </x:c>
      <x:c r="B15" s="22" t="str">
        <x:v>WARNING</x:v>
      </x:c>
      <x:c r="C15" s="22" t="n">
        <x:v>6</x:v>
      </x:c>
      <x:c r="D15" s="22" t="n">
        <x:v>0</x:v>
      </x:c>
      <x:c r="E15" s="22" t="n">
        <x:v>1</x:v>
      </x:c>
      <x:c r="F15" s="22" t="n">
        <x:v>0</x:v>
      </x:c>
      <x:c r="G15" s="22" t="str">
        <x:v>Calculation / validation section</x:v>
      </x:c>
      <x:c r="H15" s="22" t="str">
        <x:v>Single-pole attenuation at switching frequency is only -3.2 dB.</x:v>
      </x:c>
      <x:c r="I15" s="22"/>
      <x:c r="J15" s="22"/>
      <x:c r="K15" s="22"/>
    </x:row>
    <x:row r="16" ht="26.399999618530273" hidden="0" customHeight="1">
      <x:c r="A16" s="22" t="str">
        <x:v>30_IDC_Shunt</x:v>
      </x:c>
      <x:c r="B16" s="22" t="str">
        <x:v>WARNING</x:v>
      </x:c>
      <x:c r="C16" s="22" t="n">
        <x:v>13</x:v>
      </x:c>
      <x:c r="D16" s="22" t="n">
        <x:v>0</x:v>
      </x:c>
      <x:c r="E16" s="22" t="n">
        <x:v>1</x:v>
      </x:c>
      <x:c r="F16" s="22" t="n">
        <x:v>1</x:v>
      </x:c>
      <x:c r="G16" s="22" t="str">
        <x:v>Calculation / validation section</x:v>
      </x:c>
      <x:c r="H16" s="22" t="str">
        <x:v>IDC amplifier input offset is not configured.</x:v>
      </x:c>
      <x:c r="I16" s="22"/>
      <x:c r="J16" s="22"/>
      <x:c r="K16" s="22"/>
    </x:row>
    <x:row r="17" ht="15" hidden="0" customHeight="1">
      <x:c r="A17" s="22" t="str">
        <x:v>41_VDC</x:v>
      </x:c>
      <x:c r="B17" s="22" t="str">
        <x:v>PASS</x:v>
      </x:c>
      <x:c r="C17" s="22" t="n">
        <x:v>7</x:v>
      </x:c>
      <x:c r="D17" s="22" t="n">
        <x:v>0</x:v>
      </x:c>
      <x:c r="E17" s="22" t="n">
        <x:v>0</x:v>
      </x:c>
      <x:c r="F17" s="22" t="n">
        <x:v>0</x:v>
      </x:c>
      <x:c r="G17" s="22" t="str">
        <x:v>Calculation / validation section</x:v>
      </x:c>
      <x:c r="H17" s="22" t="str">
        <x:v>No diagnostic raised</x:v>
      </x:c>
      <x:c r="I17" s="22"/>
      <x:c r="J17" s="22"/>
      <x:c r="K17" s="22"/>
    </x:row>
    <x:row r="18" ht="15" hidden="0" customHeight="1">
      <x:c r="A18" s="22" t="str">
        <x:v>31_IDC_Filter</x:v>
      </x:c>
      <x:c r="B18" s="22" t="str">
        <x:v>FAIL</x:v>
      </x:c>
      <x:c r="C18" s="22" t="n">
        <x:v>6</x:v>
      </x:c>
      <x:c r="D18" s="22" t="n">
        <x:v>1</x:v>
      </x:c>
      <x:c r="E18" s="22" t="n">
        <x:v>0</x:v>
      </x:c>
      <x:c r="F18" s="22" t="n">
        <x:v>0</x:v>
      </x:c>
      <x:c r="G18" s="22" t="str">
        <x:v>Calculation / validation section</x:v>
      </x:c>
      <x:c r="H18" s="22" t="str">
        <x:v>Analog phase loss 16.42° exceeds 15.00°.</x:v>
      </x:c>
      <x:c r="I18" s="22"/>
      <x:c r="J18" s="22"/>
      <x:c r="K18" s="22"/>
    </x:row>
    <x:row r="19" ht="15" hidden="0" customHeight="1">
      <x:c r="A19" s="22" t="str">
        <x:v>43_VDC_Filter</x:v>
      </x:c>
      <x:c r="B19" s="22" t="str">
        <x:v>PASS</x:v>
      </x:c>
      <x:c r="C19" s="22" t="n">
        <x:v>6</x:v>
      </x:c>
      <x:c r="D19" s="22" t="n">
        <x:v>0</x:v>
      </x:c>
      <x:c r="E19" s="22" t="n">
        <x:v>0</x:v>
      </x:c>
      <x:c r="F19" s="22" t="n">
        <x:v>0</x:v>
      </x:c>
      <x:c r="G19" s="22" t="str">
        <x:v>Calculation / validation section</x:v>
      </x:c>
      <x:c r="H19" s="22" t="str">
        <x:v>No diagnostic raised</x:v>
      </x:c>
      <x:c r="I19" s="22"/>
      <x:c r="J19" s="22"/>
      <x:c r="K19" s="22"/>
    </x:row>
    <x:row r="20" ht="39.599998474121094" hidden="0" customHeight="1">
      <x:c r="A20" s="22" t="str">
        <x:v>50_ADC_Timing</x:v>
      </x:c>
      <x:c r="B20" s="22" t="str">
        <x:v>WARNING</x:v>
      </x:c>
      <x:c r="C20" s="22" t="n">
        <x:v>8</x:v>
      </x:c>
      <x:c r="D20" s="22" t="n">
        <x:v>0</x:v>
      </x:c>
      <x:c r="E20" s="22" t="n">
        <x:v>0</x:v>
      </x:c>
      <x:c r="F20" s="22" t="n">
        <x:v>1</x:v>
      </x:c>
      <x:c r="G20" s="22" t="str">
        <x:v>Calculation / validation section</x:v>
      </x:c>
      <x:c r="H20" s="22" t="str">
        <x:v>Exact ADC acquisition model is not evaluated because MCU internal parameters are not provided.</x:v>
      </x:c>
      <x:c r="I20" s="22"/>
      <x:c r="J20" s="22"/>
      <x:c r="K20" s="22"/>
    </x:row>
    <x:row r="21" ht="26.399999618530273" hidden="0" customHeight="1">
      <x:c r="A21" s="22" t="str">
        <x:v>55_IAC_Delay</x:v>
      </x:c>
      <x:c r="B21" s="22" t="str">
        <x:v>WARNING</x:v>
      </x:c>
      <x:c r="C21" s="22" t="n">
        <x:v>7</x:v>
      </x:c>
      <x:c r="D21" s="22" t="n">
        <x:v>0</x:v>
      </x:c>
      <x:c r="E21" s="22" t="n">
        <x:v>0</x:v>
      </x:c>
      <x:c r="F21" s="22" t="n">
        <x:v>1</x:v>
      </x:c>
      <x:c r="G21" s="22" t="str">
        <x:v>Calculation / validation section</x:v>
      </x:c>
      <x:c r="H21" s="22" t="str">
        <x:v>Delay budget is incomplete; missing: adc, isr, pwm.</x:v>
      </x:c>
      <x:c r="I21" s="22"/>
      <x:c r="J21" s="22"/>
      <x:c r="K21" s="22"/>
    </x:row>
    <x:row r="22" ht="26.399999618530273" hidden="0" customHeight="1">
      <x:c r="A22" s="22" t="str">
        <x:v>55_IDC_Delay</x:v>
      </x:c>
      <x:c r="B22" s="22" t="str">
        <x:v>WARNING</x:v>
      </x:c>
      <x:c r="C22" s="22" t="n">
        <x:v>7</x:v>
      </x:c>
      <x:c r="D22" s="22" t="n">
        <x:v>0</x:v>
      </x:c>
      <x:c r="E22" s="22" t="n">
        <x:v>0</x:v>
      </x:c>
      <x:c r="F22" s="22" t="n">
        <x:v>1</x:v>
      </x:c>
      <x:c r="G22" s="22" t="str">
        <x:v>Calculation / validation section</x:v>
      </x:c>
      <x:c r="H22" s="22" t="str">
        <x:v>Delay budget is incomplete; missing: isolation, adc, isr, pwm.</x:v>
      </x:c>
      <x:c r="I22" s="22"/>
      <x:c r="J22" s="22"/>
      <x:c r="K22" s="22"/>
    </x:row>
    <x:row r="23" ht="26.399999618530273" hidden="0" customHeight="1">
      <x:c r="A23" s="22" t="str">
        <x:v>55_VAC_Delay</x:v>
      </x:c>
      <x:c r="B23" s="22" t="str">
        <x:v>WARNING</x:v>
      </x:c>
      <x:c r="C23" s="22" t="n">
        <x:v>7</x:v>
      </x:c>
      <x:c r="D23" s="22" t="n">
        <x:v>0</x:v>
      </x:c>
      <x:c r="E23" s="22" t="n">
        <x:v>0</x:v>
      </x:c>
      <x:c r="F23" s="22" t="n">
        <x:v>1</x:v>
      </x:c>
      <x:c r="G23" s="22" t="str">
        <x:v>Calculation / validation section</x:v>
      </x:c>
      <x:c r="H23" s="22" t="str">
        <x:v>Delay budget is incomplete; missing: adc, isr, pwm.</x:v>
      </x:c>
      <x:c r="I23" s="22"/>
      <x:c r="J23" s="22"/>
      <x:c r="K23" s="22"/>
    </x:row>
    <x:row r="24" ht="26.399999618530273" hidden="0" customHeight="1">
      <x:c r="A24" s="22" t="str">
        <x:v>55_VDC_Delay</x:v>
      </x:c>
      <x:c r="B24" s="22" t="str">
        <x:v>WARNING</x:v>
      </x:c>
      <x:c r="C24" s="22" t="n">
        <x:v>7</x:v>
      </x:c>
      <x:c r="D24" s="22" t="n">
        <x:v>0</x:v>
      </x:c>
      <x:c r="E24" s="22" t="n">
        <x:v>0</x:v>
      </x:c>
      <x:c r="F24" s="22" t="n">
        <x:v>1</x:v>
      </x:c>
      <x:c r="G24" s="22" t="str">
        <x:v>Calculation / validation section</x:v>
      </x:c>
      <x:c r="H24" s="22" t="str">
        <x:v>Delay budget is incomplete; missing: sensor, isolation, adc, isr, pwm.</x:v>
      </x:c>
      <x:c r="I24" s="22"/>
      <x:c r="J24" s="22"/>
      <x:c r="K24" s="22"/>
    </x:row>
    <x:row r="25" ht="26.399999618530273" hidden="0" customHeight="1">
      <x:c r="A25" s="22" t="str">
        <x:v>60_IAC_Error</x:v>
      </x:c>
      <x:c r="B25" s="22" t="str">
        <x:v>WARNING</x:v>
      </x:c>
      <x:c r="C25" s="22" t="n">
        <x:v>2</x:v>
      </x:c>
      <x:c r="D25" s="22" t="n">
        <x:v>0</x:v>
      </x:c>
      <x:c r="E25" s="22" t="n">
        <x:v>0</x:v>
      </x:c>
      <x:c r="F25" s="22" t="n">
        <x:v>1</x:v>
      </x:c>
      <x:c r="G25" s="22" t="str">
        <x:v>Calculation / validation section</x:v>
      </x:c>
      <x:c r="H25" s="22" t="str">
        <x:v>No channel error-source data are configured.</x:v>
      </x:c>
      <x:c r="I25" s="22"/>
      <x:c r="J25" s="22"/>
      <x:c r="K25" s="22"/>
    </x:row>
    <x:row r="26" ht="26.399999618530273" hidden="0" customHeight="1">
      <x:c r="A26" s="22" t="str">
        <x:v>60_IDC_Error</x:v>
      </x:c>
      <x:c r="B26" s="22" t="str">
        <x:v>WARNING</x:v>
      </x:c>
      <x:c r="C26" s="22" t="n">
        <x:v>2</x:v>
      </x:c>
      <x:c r="D26" s="22" t="n">
        <x:v>0</x:v>
      </x:c>
      <x:c r="E26" s="22" t="n">
        <x:v>0</x:v>
      </x:c>
      <x:c r="F26" s="22" t="n">
        <x:v>1</x:v>
      </x:c>
      <x:c r="G26" s="22" t="str">
        <x:v>Calculation / validation section</x:v>
      </x:c>
      <x:c r="H26" s="22" t="str">
        <x:v>No channel error-source data are configured.</x:v>
      </x:c>
      <x:c r="I26" s="22"/>
      <x:c r="J26" s="22"/>
      <x:c r="K26" s="22"/>
    </x:row>
    <x:row r="27" ht="26.399999618530273" hidden="0" customHeight="1">
      <x:c r="A27" s="22" t="str">
        <x:v>60_VAC_Error</x:v>
      </x:c>
      <x:c r="B27" s="22" t="str">
        <x:v>WARNING</x:v>
      </x:c>
      <x:c r="C27" s="22" t="n">
        <x:v>2</x:v>
      </x:c>
      <x:c r="D27" s="22" t="n">
        <x:v>0</x:v>
      </x:c>
      <x:c r="E27" s="22" t="n">
        <x:v>0</x:v>
      </x:c>
      <x:c r="F27" s="22" t="n">
        <x:v>1</x:v>
      </x:c>
      <x:c r="G27" s="22" t="str">
        <x:v>Calculation / validation section</x:v>
      </x:c>
      <x:c r="H27" s="22" t="str">
        <x:v>No channel error-source data are configured.</x:v>
      </x:c>
      <x:c r="I27" s="22"/>
      <x:c r="J27" s="22"/>
      <x:c r="K27" s="22"/>
    </x:row>
    <x:row r="28" ht="26.399999618530273" hidden="0" customHeight="1">
      <x:c r="A28" s="22" t="str">
        <x:v>60_VDC_Error</x:v>
      </x:c>
      <x:c r="B28" s="22" t="str">
        <x:v>WARNING</x:v>
      </x:c>
      <x:c r="C28" s="22" t="n">
        <x:v>2</x:v>
      </x:c>
      <x:c r="D28" s="22" t="n">
        <x:v>0</x:v>
      </x:c>
      <x:c r="E28" s="22" t="n">
        <x:v>0</x:v>
      </x:c>
      <x:c r="F28" s="22" t="n">
        <x:v>1</x:v>
      </x:c>
      <x:c r="G28" s="22" t="str">
        <x:v>Calculation / validation section</x:v>
      </x:c>
      <x:c r="H28" s="22" t="str">
        <x:v>No channel error-source data are configured.</x:v>
      </x:c>
      <x:c r="I28" s="22"/>
      <x:c r="J28" s="22"/>
      <x:c r="K28" s="22"/>
    </x:row>
    <x:row r="29" ht="15" hidden="0" customHeight="1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 ht="15" hidden="0" customHeight="1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</x:sheetData>
  <x:mergeCells>
    <x:mergeCell ref="A1:H1"/>
  </x:mergeCells>
  <x:conditionalFormatting sqref="B4:B28">
    <x:cfRule type="expression" dxfId="0" priority="1">
      <x:formula>B4="PASS"</x:formula>
    </x:cfRule>
    <x:cfRule type="expression" dxfId="1" priority="2">
      <x:formula>B4="WARNING"</x:formula>
    </x:cfRule>
    <x:cfRule type="expression" dxfId="2" priority="3">
      <x:formula>B4="FAIL"</x:formula>
    </x:cfRule>
    <x:cfRule type="expression" dxfId="3" priority="4">
      <x:formula>B4="NOT_EVALUATED"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f881a5934841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4" hidden="0" customWidth="1"/>
    <x:col min="4" max="4" width="26" hidden="0" customWidth="1"/>
  </x:cols>
  <x:sheetData>
    <x:row r="1" ht="15" hidden="0" customHeight="1">
      <x:c r="A1" s="12" t="str">
        <x:v>Path</x:v>
      </x:c>
      <x:c r="B1" s="12" t="str">
        <x:v>Value</x:v>
      </x:c>
      <x:c r="C1" s="12" t="str">
        <x:v>Type</x:v>
      </x:c>
      <x:c r="D1" s="12" t="str">
        <x:v>Source/Qualification</x:v>
      </x:c>
    </x:row>
    <x:row r="2" ht="26.399999618530273" hidden="0" customHeight="1">
      <x:c r="A2" s="22" t="str">
        <x:v>metadata.profile</x:v>
      </x:c>
      <x:c r="B2" s="22" t="str">
        <x:v>PMP23607_RevE2_F29H85x_MVP</x:v>
      </x:c>
      <x:c r="C2" s="22" t="str">
        <x:v>str</x:v>
      </x:c>
      <x:c r="D2" s="22" t="str">
        <x:v>user/profile input</x:v>
      </x:c>
    </x:row>
    <x:row r="3" ht="15" hidden="0" customHeight="1">
      <x:c r="A3" s="22" t="str">
        <x:v>metadata.version</x:v>
      </x:c>
      <x:c r="B3" s="22" t="str">
        <x:v>0.3.0</x:v>
      </x:c>
      <x:c r="C3" s="22" t="str">
        <x:v>str</x:v>
      </x:c>
      <x:c r="D3" s="22" t="str">
        <x:v>user/profile input</x:v>
      </x:c>
    </x:row>
    <x:row r="4" ht="66" hidden="0" customHeight="1">
      <x:c r="A4" s="22" t="str">
        <x:v>metadata.description</x:v>
      </x:c>
      <x:c r="B4" s="22" t="str">
        <x:v>PMP23607 bidirectional one-stage OBC sensing design calculator profile; includes GB/T 40432-2021 compliance layer</x:v>
      </x:c>
      <x:c r="C4" s="22" t="str">
        <x:v>str</x:v>
      </x:c>
      <x:c r="D4" s="22" t="str">
        <x:v>user/profile input</x:v>
      </x:c>
    </x:row>
    <x:row r="5" ht="15" hidden="0" customHeight="1">
      <x:c r="A5" s="22" t="str">
        <x:v>system.phase_count</x:v>
      </x:c>
      <x:c r="B5" s="22" t="n">
        <x:v>1</x:v>
      </x:c>
      <x:c r="C5" s="22" t="str">
        <x:v>int</x:v>
      </x:c>
      <x:c r="D5" s="22" t="str">
        <x:v>user/profile input</x:v>
      </x:c>
    </x:row>
    <x:row r="6" ht="15" hidden="0" customHeight="1">
      <x:c r="A6" s="22" t="str">
        <x:v>system.ac_voltage_basis</x:v>
      </x:c>
      <x:c r="B6" s="22" t="str">
        <x:v>single_phase</x:v>
      </x:c>
      <x:c r="C6" s="22" t="str">
        <x:v>str</x:v>
      </x:c>
      <x:c r="D6" s="22" t="str">
        <x:v>user/profile input</x:v>
      </x:c>
    </x:row>
    <x:row r="7" ht="15" hidden="0" customHeight="1">
      <x:c r="A7" s="22" t="str">
        <x:v>system.rated_power_w</x:v>
      </x:c>
      <x:c r="B7" s="22" t="n">
        <x:v>2500</x:v>
      </x:c>
      <x:c r="C7" s="22" t="str">
        <x:v>float</x:v>
      </x:c>
      <x:c r="D7" s="22" t="str">
        <x:v>user/profile input</x:v>
      </x:c>
    </x:row>
    <x:row r="8" ht="15" hidden="0" customHeight="1">
      <x:c r="A8" s="22" t="str">
        <x:v>system.peak_power_w</x:v>
      </x:c>
      <x:c r="B8" s="22" t="n">
        <x:v>2500</x:v>
      </x:c>
      <x:c r="C8" s="22" t="str">
        <x:v>float</x:v>
      </x:c>
      <x:c r="D8" s="22" t="str">
        <x:v>user/profile input</x:v>
      </x:c>
    </x:row>
    <x:row r="9" ht="15" hidden="0" customHeight="1">
      <x:c r="A9" s="22" t="str">
        <x:v>system.vac_min_rms_v</x:v>
      </x:c>
      <x:c r="B9" s="22" t="n">
        <x:v>180</x:v>
      </x:c>
      <x:c r="C9" s="22" t="str">
        <x:v>float</x:v>
      </x:c>
      <x:c r="D9" s="22" t="str">
        <x:v>user/profile input</x:v>
      </x:c>
    </x:row>
    <x:row r="10" ht="15" hidden="0" customHeight="1">
      <x:c r="A10" s="22" t="str">
        <x:v>system.vac_nom_rms_v</x:v>
      </x:c>
      <x:c r="B10" s="22" t="n">
        <x:v>230</x:v>
      </x:c>
      <x:c r="C10" s="22" t="str">
        <x:v>float</x:v>
      </x:c>
      <x:c r="D10" s="22" t="str">
        <x:v>user/profile input</x:v>
      </x:c>
    </x:row>
    <x:row r="11" ht="15" hidden="0" customHeight="1">
      <x:c r="A11" s="22" t="str">
        <x:v>system.vac_max_rms_v</x:v>
      </x:c>
      <x:c r="B11" s="22" t="n">
        <x:v>265</x:v>
      </x:c>
      <x:c r="C11" s="22" t="str">
        <x:v>float</x:v>
      </x:c>
      <x:c r="D11" s="22" t="str">
        <x:v>user/profile input</x:v>
      </x:c>
    </x:row>
    <x:row r="12" ht="15" hidden="0" customHeight="1">
      <x:c r="A12" s="22" t="str">
        <x:v>system.vdc_min_v</x:v>
      </x:c>
      <x:c r="B12" s="22" t="n">
        <x:v>370</x:v>
      </x:c>
      <x:c r="C12" s="22" t="str">
        <x:v>float</x:v>
      </x:c>
      <x:c r="D12" s="22" t="str">
        <x:v>user/profile input</x:v>
      </x:c>
    </x:row>
    <x:row r="13" ht="15" hidden="0" customHeight="1">
      <x:c r="A13" s="22" t="str">
        <x:v>system.vdc_nom_v</x:v>
      </x:c>
      <x:c r="B13" s="22" t="n">
        <x:v>400</x:v>
      </x:c>
      <x:c r="C13" s="22" t="str">
        <x:v>float</x:v>
      </x:c>
      <x:c r="D13" s="22" t="str">
        <x:v>user/profile input</x:v>
      </x:c>
    </x:row>
    <x:row r="14" ht="15" hidden="0" customHeight="1">
      <x:c r="A14" s="22" t="str">
        <x:v>system.vdc_max_v</x:v>
      </x:c>
      <x:c r="B14" s="22" t="n">
        <x:v>420</x:v>
      </x:c>
      <x:c r="C14" s="22" t="str">
        <x:v>float</x:v>
      </x:c>
      <x:c r="D14" s="22" t="str">
        <x:v>user/profile input</x:v>
      </x:c>
    </x:row>
    <x:row r="15" ht="15" hidden="0" customHeight="1">
      <x:c r="A15" s="22" t="str">
        <x:v>system.efficiency_min</x:v>
      </x:c>
      <x:c r="B15" s="22" t="n">
        <x:v>0.95</x:v>
      </x:c>
      <x:c r="C15" s="22" t="str">
        <x:v>float</x:v>
      </x:c>
      <x:c r="D15" s="22" t="str">
        <x:v>user/profile input</x:v>
      </x:c>
    </x:row>
    <x:row r="16" ht="15" hidden="0" customHeight="1">
      <x:c r="A16" s="22" t="str">
        <x:v>system.power_factor_min</x:v>
      </x:c>
      <x:c r="B16" s="22" t="n">
        <x:v>0.99</x:v>
      </x:c>
      <x:c r="C16" s="22" t="str">
        <x:v>float</x:v>
      </x:c>
      <x:c r="D16" s="22" t="str">
        <x:v>user/profile input</x:v>
      </x:c>
    </x:row>
    <x:row r="17" ht="15" hidden="0" customHeight="1">
      <x:c r="A17" s="22" t="str">
        <x:v>system.switching_frequency_hz</x:v>
      </x:c>
      <x:c r="B17" s="22" t="n">
        <x:v>150000</x:v>
      </x:c>
      <x:c r="C17" s="22" t="str">
        <x:v>float</x:v>
      </x:c>
      <x:c r="D17" s="22" t="str">
        <x:v>user/profile input</x:v>
      </x:c>
    </x:row>
    <x:row r="18" ht="15" hidden="0" customHeight="1">
      <x:c r="A18" s="22" t="str">
        <x:v>system.overload_factor</x:v>
      </x:c>
      <x:c r="B18" s="22" t="n">
        <x:v>1.1</x:v>
      </x:c>
      <x:c r="C18" s="22" t="str">
        <x:v>float</x:v>
      </x:c>
      <x:c r="D18" s="22" t="str">
        <x:v>user/profile input</x:v>
      </x:c>
    </x:row>
    <x:row r="19" ht="15" hidden="0" customHeight="1">
      <x:c r="A19" s="22" t="str">
        <x:v>system.default_range_margin</x:v>
      </x:c>
      <x:c r="B19" s="22" t="n">
        <x:v>1.2</x:v>
      </x:c>
      <x:c r="C19" s="22" t="str">
        <x:v>float</x:v>
      </x:c>
      <x:c r="D19" s="22" t="str">
        <x:v>user/profile input</x:v>
      </x:c>
    </x:row>
    <x:row r="20" ht="15" hidden="0" customHeight="1">
      <x:c r="A20" s="22" t="str">
        <x:v>system.bidirectional</x:v>
      </x:c>
      <x:c r="B20" s="28" t="b">
        <x:v>1</x:v>
      </x:c>
      <x:c r="C20" s="22" t="str">
        <x:v>bool</x:v>
      </x:c>
      <x:c r="D20" s="22" t="str">
        <x:v>user/profile input</x:v>
      </x:c>
    </x:row>
    <x:row r="21" ht="15" hidden="0" customHeight="1">
      <x:c r="A21" s="22" t="str">
        <x:v>control.iac_loop_bandwidth_hz</x:v>
      </x:c>
      <x:c r="B21" s="22" t="n">
        <x:v>3000</x:v>
      </x:c>
      <x:c r="C21" s="22" t="str">
        <x:v>float</x:v>
      </x:c>
      <x:c r="D21" s="22" t="str">
        <x:v>user/profile input</x:v>
      </x:c>
    </x:row>
    <x:row r="22" ht="15" hidden="0" customHeight="1">
      <x:c r="A22" s="22" t="str">
        <x:v>control.idc_loop_bandwidth_hz</x:v>
      </x:c>
      <x:c r="B22" s="22" t="n">
        <x:v>2000</x:v>
      </x:c>
      <x:c r="C22" s="22" t="str">
        <x:v>float</x:v>
      </x:c>
      <x:c r="D22" s="22" t="str">
        <x:v>user/profile input</x:v>
      </x:c>
    </x:row>
    <x:row r="23" ht="15" hidden="0" customHeight="1">
      <x:c r="A23" s="22" t="str">
        <x:v>control.vdc_loop_bandwidth_hz</x:v>
      </x:c>
      <x:c r="B23" s="22" t="n">
        <x:v>20</x:v>
      </x:c>
      <x:c r="C23" s="22" t="str">
        <x:v>float</x:v>
      </x:c>
      <x:c r="D23" s="22" t="str">
        <x:v>user/profile input</x:v>
      </x:c>
    </x:row>
    <x:row r="24" ht="15" hidden="0" customHeight="1">
      <x:c r="A24" s="22" t="str">
        <x:v>control.pll_bandwidth_hz</x:v>
      </x:c>
      <x:c r="B24" s="22" t="n">
        <x:v>30</x:v>
      </x:c>
      <x:c r="C24" s="22" t="str">
        <x:v>float</x:v>
      </x:c>
      <x:c r="D24" s="22" t="str">
        <x:v>user/profile input</x:v>
      </x:c>
    </x:row>
    <x:row r="25" ht="15" hidden="0" customHeight="1">
      <x:c r="A25" s="22" t="str">
        <x:v>control.line_frequency_hz</x:v>
      </x:c>
      <x:c r="B25" s="22" t="n">
        <x:v>50</x:v>
      </x:c>
      <x:c r="C25" s="22" t="str">
        <x:v>float</x:v>
      </x:c>
      <x:c r="D25" s="22" t="str">
        <x:v>user/profile input</x:v>
      </x:c>
    </x:row>
    <x:row r="26" ht="15" hidden="0" customHeight="1">
      <x:c r="A26" s="22" t="str">
        <x:v>targets.bandwidth_multiplier</x:v>
      </x:c>
      <x:c r="B26" s="22" t="n">
        <x:v>5</x:v>
      </x:c>
      <x:c r="C26" s="22" t="str">
        <x:v>float</x:v>
      </x:c>
      <x:c r="D26" s="22" t="str">
        <x:v>user/profile input</x:v>
      </x:c>
    </x:row>
    <x:row r="27" ht="15" hidden="0" customHeight="1">
      <x:c r="A27" s="22" t="str">
        <x:v>targets.iac_phase_loss_deg</x:v>
      </x:c>
      <x:c r="B27" s="22" t="n">
        <x:v>15</x:v>
      </x:c>
      <x:c r="C27" s="22" t="str">
        <x:v>float</x:v>
      </x:c>
      <x:c r="D27" s="22" t="str">
        <x:v>user/profile input</x:v>
      </x:c>
    </x:row>
    <x:row r="28" ht="15" hidden="0" customHeight="1">
      <x:c r="A28" s="22" t="str">
        <x:v>targets.idc_phase_loss_deg</x:v>
      </x:c>
      <x:c r="B28" s="22" t="n">
        <x:v>15</x:v>
      </x:c>
      <x:c r="C28" s="22" t="str">
        <x:v>float</x:v>
      </x:c>
      <x:c r="D28" s="22" t="str">
        <x:v>user/profile input</x:v>
      </x:c>
    </x:row>
    <x:row r="29" ht="15" hidden="0" customHeight="1">
      <x:c r="A29" s="22" t="str">
        <x:v>targets.vdc_phase_loss_deg</x:v>
      </x:c>
      <x:c r="B29" s="22" t="n">
        <x:v>5</x:v>
      </x:c>
      <x:c r="C29" s="22" t="str">
        <x:v>float</x:v>
      </x:c>
      <x:c r="D29" s="22" t="str">
        <x:v>user/profile input</x:v>
      </x:c>
    </x:row>
    <x:row r="30" ht="15" hidden="0" customHeight="1">
      <x:c r="A30" s="22" t="str">
        <x:v>targets.vac_line_phase_error_deg</x:v>
      </x:c>
      <x:c r="B30" s="22" t="n">
        <x:v>0.5</x:v>
      </x:c>
      <x:c r="C30" s="22" t="str">
        <x:v>float</x:v>
      </x:c>
      <x:c r="D30" s="22" t="str">
        <x:v>user/profile input</x:v>
      </x:c>
    </x:row>
    <x:row r="31" ht="15" hidden="0" customHeight="1">
      <x:c r="A31" s="22" t="str">
        <x:v>targets.vac_pll_phase_loss_deg</x:v>
      </x:c>
      <x:c r="B31" s="22" t="n">
        <x:v>5</x:v>
      </x:c>
      <x:c r="C31" s="22" t="str">
        <x:v>float</x:v>
      </x:c>
      <x:c r="D31" s="22" t="str">
        <x:v>user/profile input</x:v>
      </x:c>
    </x:row>
    <x:row r="32" ht="15" hidden="0" customHeight="1">
      <x:c r="A32" s="22" t="str">
        <x:v>adc.resolution_bits</x:v>
      </x:c>
      <x:c r="B32" s="22" t="n">
        <x:v>12</x:v>
      </x:c>
      <x:c r="C32" s="22" t="str">
        <x:v>int</x:v>
      </x:c>
      <x:c r="D32" s="22" t="str">
        <x:v>user/profile input</x:v>
      </x:c>
    </x:row>
    <x:row r="33" ht="15" hidden="0" customHeight="1">
      <x:c r="A33" s="22" t="str">
        <x:v>adc.reference_voltage_v</x:v>
      </x:c>
      <x:c r="B33" s="22" t="n">
        <x:v>3</x:v>
      </x:c>
      <x:c r="C33" s="22" t="str">
        <x:v>float</x:v>
      </x:c>
      <x:c r="D33" s="22" t="str">
        <x:v>user/profile input</x:v>
      </x:c>
    </x:row>
    <x:row r="34" ht="15" hidden="0" customHeight="1">
      <x:c r="A34" s="22" t="str">
        <x:v>adc.sysclk_hz</x:v>
      </x:c>
      <x:c r="B34" s="22" t="n">
        <x:v>200000000</x:v>
      </x:c>
      <x:c r="C34" s="22" t="str">
        <x:v>float</x:v>
      </x:c>
      <x:c r="D34" s="22" t="str">
        <x:v>user/profile input</x:v>
      </x:c>
    </x:row>
    <x:row r="35" ht="15" hidden="0" customHeight="1">
      <x:c r="A35" s="22" t="str">
        <x:v>adc.minimum_sample_window_s</x:v>
      </x:c>
      <x:c r="B35" s="22" t="n">
        <x:v>0</x:v>
      </x:c>
      <x:c r="C35" s="22" t="str">
        <x:v>float</x:v>
      </x:c>
      <x:c r="D35" s="22" t="str">
        <x:v>user/profile input</x:v>
      </x:c>
    </x:row>
    <x:row r="36" ht="15" hidden="0" customHeight="1">
      <x:c r="A36" s="22" t="str">
        <x:v>adc.existing_sample_window_cycles</x:v>
      </x:c>
      <x:c r="B36" s="22" t="n">
        <x:v>20</x:v>
      </x:c>
      <x:c r="C36" s="22" t="str">
        <x:v>int</x:v>
      </x:c>
      <x:c r="D36" s="22" t="str">
        <x:v>user/profile input</x:v>
      </x:c>
    </x:row>
    <x:row r="37" ht="15" hidden="0" customHeight="1">
      <x:c r="A37" s="22" t="str">
        <x:v>adc.acquisition.target_error_lsb</x:v>
      </x:c>
      <x:c r="B37" s="22" t="n">
        <x:v>0.5</x:v>
      </x:c>
      <x:c r="C37" s="22" t="str">
        <x:v>float</x:v>
      </x:c>
      <x:c r="D37" s="22" t="str">
        <x:v>user/profile input</x:v>
      </x:c>
    </x:row>
    <x:row r="38" ht="15" hidden="0" customHeight="1">
      <x:c r="A38" s="22" t="str">
        <x:v>adc.acquisition.safety_factor</x:v>
      </x:c>
      <x:c r="B38" s="22" t="n">
        <x:v>1.5</x:v>
      </x:c>
      <x:c r="C38" s="22" t="str">
        <x:v>float</x:v>
      </x:c>
      <x:c r="D38" s="22" t="str">
        <x:v>user/profile input</x:v>
      </x:c>
    </x:row>
    <x:row r="39" ht="15" hidden="0" customHeight="1">
      <x:c r="A39" s="22" t="str">
        <x:v>adc.acquisition.simplified_source_resistance_ohm</x:v>
      </x:c>
      <x:c r="B39" s="22" t="n">
        <x:v>100</x:v>
      </x:c>
      <x:c r="C39" s="22" t="str">
        <x:v>float</x:v>
      </x:c>
      <x:c r="D39" s="22" t="str">
        <x:v>user/profile input</x:v>
      </x:c>
    </x:row>
    <x:row r="40" ht="15" hidden="0" customHeight="1">
      <x:c r="A40" s="22" t="str">
        <x:v>adc.acquisition.simplified_total_capacitance_f</x:v>
      </x:c>
      <x:c r="B40" s="22" t="n">
        <x:v>3e-11</x:v>
      </x:c>
      <x:c r="C40" s="22" t="str">
        <x:v>float</x:v>
      </x:c>
      <x:c r="D40" s="22" t="str">
        <x:v>user/profile input</x:v>
      </x:c>
    </x:row>
    <x:row r="41" ht="15" hidden="0" customHeight="1">
      <x:c r="A41" s="22" t="str">
        <x:v>adc.acquisition.exact_sample_capacitance_f</x:v>
      </x:c>
      <x:c r="B41" s="22"/>
      <x:c r="C41" s="22" t="str">
        <x:v>NoneType</x:v>
      </x:c>
      <x:c r="D41" s="22" t="str">
        <x:v>user/profile input</x:v>
      </x:c>
    </x:row>
    <x:row r="42" ht="15" hidden="0" customHeight="1">
      <x:c r="A42" s="22" t="str">
        <x:v>adc.acquisition.exact_switch_resistance_ohm</x:v>
      </x:c>
      <x:c r="B42" s="22"/>
      <x:c r="C42" s="22" t="str">
        <x:v>NoneType</x:v>
      </x:c>
      <x:c r="D42" s="22" t="str">
        <x:v>user/profile input</x:v>
      </x:c>
    </x:row>
    <x:row r="43" ht="15" hidden="0" customHeight="1">
      <x:c r="A43" s="22" t="str">
        <x:v>adc.acquisition.exact_source_resistance_ohm</x:v>
      </x:c>
      <x:c r="B43" s="22"/>
      <x:c r="C43" s="22" t="str">
        <x:v>NoneType</x:v>
      </x:c>
      <x:c r="D43" s="22" t="str">
        <x:v>user/profile input</x:v>
      </x:c>
    </x:row>
    <x:row r="44" ht="15" hidden="0" customHeight="1">
      <x:c r="A44" s="22" t="str">
        <x:v>environment.temperature_min_c</x:v>
      </x:c>
      <x:c r="B44" s="22" t="n">
        <x:v>-40</x:v>
      </x:c>
      <x:c r="C44" s="22" t="str">
        <x:v>float</x:v>
      </x:c>
      <x:c r="D44" s="22" t="str">
        <x:v>user/profile input</x:v>
      </x:c>
    </x:row>
    <x:row r="45" ht="15" hidden="0" customHeight="1">
      <x:c r="A45" s="22" t="str">
        <x:v>environment.temperature_max_c</x:v>
      </x:c>
      <x:c r="B45" s="22" t="n">
        <x:v>125</x:v>
      </x:c>
      <x:c r="C45" s="22" t="str">
        <x:v>float</x:v>
      </x:c>
      <x:c r="D45" s="22" t="str">
        <x:v>user/profile input</x:v>
      </x:c>
    </x:row>
    <x:row r="46" ht="15" hidden="0" customHeight="1">
      <x:c r="A46" s="22" t="str">
        <x:v>environment.temperature_span_c</x:v>
      </x:c>
      <x:c r="B46" s="22" t="n">
        <x:v>165</x:v>
      </x:c>
      <x:c r="C46" s="22" t="str">
        <x:v>float</x:v>
      </x:c>
      <x:c r="D46" s="22" t="str">
        <x:v>user/profile input</x:v>
      </x:c>
    </x:row>
    <x:row r="47" ht="15" hidden="0" customHeight="1">
      <x:c r="A47" s="22" t="str">
        <x:v>channels.iac.range_margin</x:v>
      </x:c>
      <x:c r="B47" s="22" t="n">
        <x:v>1.2</x:v>
      </x:c>
      <x:c r="C47" s="22" t="str">
        <x:v>float</x:v>
      </x:c>
      <x:c r="D47" s="22" t="str">
        <x:v>user/profile input</x:v>
      </x:c>
    </x:row>
    <x:row r="48" ht="15" hidden="0" customHeight="1">
      <x:c r="A48" s="22" t="str">
        <x:v>channels.iac.accuracy_target_percent_fs</x:v>
      </x:c>
      <x:c r="B48" s="22" t="n">
        <x:v>0.5</x:v>
      </x:c>
      <x:c r="C48" s="22" t="str">
        <x:v>float</x:v>
      </x:c>
      <x:c r="D48" s="22" t="str">
        <x:v>user/profile input</x:v>
      </x:c>
    </x:row>
    <x:row r="49" ht="15" hidden="0" customHeight="1">
      <x:c r="A49" s="22" t="str">
        <x:v>channels.iac.adc_headroom_low_v</x:v>
      </x:c>
      <x:c r="B49" s="22" t="n">
        <x:v>0.2</x:v>
      </x:c>
      <x:c r="C49" s="22" t="str">
        <x:v>float</x:v>
      </x:c>
      <x:c r="D49" s="22" t="str">
        <x:v>user/profile input</x:v>
      </x:c>
    </x:row>
    <x:row r="50" ht="15" hidden="0" customHeight="1">
      <x:c r="A50" s="22" t="str">
        <x:v>channels.iac.adc_headroom_high_v</x:v>
      </x:c>
      <x:c r="B50" s="22" t="n">
        <x:v>0.2</x:v>
      </x:c>
      <x:c r="C50" s="22" t="str">
        <x:v>float</x:v>
      </x:c>
      <x:c r="D50" s="22" t="str">
        <x:v>user/profile input</x:v>
      </x:c>
    </x:row>
    <x:row r="51" ht="15" hidden="0" customHeight="1">
      <x:c r="A51" s="22" t="str">
        <x:v>channels.iac.hall.sensor_zero_output_v</x:v>
      </x:c>
      <x:c r="B51" s="22" t="n">
        <x:v>2.5</x:v>
      </x:c>
      <x:c r="C51" s="22" t="str">
        <x:v>float</x:v>
      </x:c>
      <x:c r="D51" s="22" t="str">
        <x:v>user/profile input</x:v>
      </x:c>
    </x:row>
    <x:row r="52" ht="15" hidden="0" customHeight="1">
      <x:c r="A52" s="22" t="str">
        <x:v>channels.iac.hall.sensor_sensitivity_v_per_a</x:v>
      </x:c>
      <x:c r="B52" s="22" t="n">
        <x:v>0.025</x:v>
      </x:c>
      <x:c r="C52" s="22" t="str">
        <x:v>float</x:v>
      </x:c>
      <x:c r="D52" s="22" t="str">
        <x:v>user/profile input</x:v>
      </x:c>
    </x:row>
    <x:row r="53" ht="15" hidden="0" customHeight="1">
      <x:c r="A53" s="22" t="str">
        <x:v>channels.iac.hall.front_end_gain</x:v>
      </x:c>
      <x:c r="B53" s="22" t="n">
        <x:v>0.584268</x:v>
      </x:c>
      <x:c r="C53" s="22" t="str">
        <x:v>float</x:v>
      </x:c>
      <x:c r="D53" s="22" t="str">
        <x:v>user/profile input</x:v>
      </x:c>
    </x:row>
    <x:row r="54" ht="15" hidden="0" customHeight="1">
      <x:c r="A54" s="22" t="str">
        <x:v>channels.iac.hall.sensor_bandwidth_hz</x:v>
      </x:c>
      <x:c r="B54" s="22" t="n">
        <x:v>1100000</x:v>
      </x:c>
      <x:c r="C54" s="22" t="str">
        <x:v>float</x:v>
      </x:c>
      <x:c r="D54" s="22" t="str">
        <x:v>user/profile input</x:v>
      </x:c>
    </x:row>
    <x:row r="55" ht="15" hidden="0" customHeight="1">
      <x:c r="A55" s="22" t="str">
        <x:v>channels.iac.filter.resistor_ohm</x:v>
      </x:c>
      <x:c r="B55" s="22" t="n">
        <x:v>100</x:v>
      </x:c>
      <x:c r="C55" s="22" t="str">
        <x:v>float</x:v>
      </x:c>
      <x:c r="D55" s="22" t="str">
        <x:v>user/profile input</x:v>
      </x:c>
    </x:row>
    <x:row r="56" ht="15" hidden="0" customHeight="1">
      <x:c r="A56" s="22" t="str">
        <x:v>channels.iac.filter.capacitor_f</x:v>
      </x:c>
      <x:c r="B56" s="22" t="n">
        <x:v>1e-8</x:v>
      </x:c>
      <x:c r="C56" s="22" t="str">
        <x:v>float</x:v>
      </x:c>
      <x:c r="D56" s="22" t="str">
        <x:v>user/profile input</x:v>
      </x:c>
    </x:row>
    <x:row r="57" ht="15" hidden="0" customHeight="1">
      <x:c r="A57" s="22" t="str">
        <x:v>channels.iac.delay.sensor_s</x:v>
      </x:c>
      <x:c r="B57" s="22" t="n">
        <x:v>5e-8</x:v>
      </x:c>
      <x:c r="C57" s="22" t="str">
        <x:v>float</x:v>
      </x:c>
      <x:c r="D57" s="22" t="str">
        <x:v>user/profile input</x:v>
      </x:c>
    </x:row>
    <x:row r="58" ht="15" hidden="0" customHeight="1">
      <x:c r="A58" s="22" t="str">
        <x:v>channels.iac.delay.isolation_s</x:v>
      </x:c>
      <x:c r="B58" s="22" t="n">
        <x:v>0</x:v>
      </x:c>
      <x:c r="C58" s="22" t="str">
        <x:v>float</x:v>
      </x:c>
      <x:c r="D58" s="22" t="str">
        <x:v>user/profile input</x:v>
      </x:c>
    </x:row>
    <x:row r="59" ht="15" hidden="0" customHeight="1">
      <x:c r="A59" s="22" t="str">
        <x:v>channels.iac.delay.adc_s</x:v>
      </x:c>
      <x:c r="B59" s="22"/>
      <x:c r="C59" s="22" t="str">
        <x:v>NoneType</x:v>
      </x:c>
      <x:c r="D59" s="22" t="str">
        <x:v>user/profile input</x:v>
      </x:c>
    </x:row>
    <x:row r="60" ht="15" hidden="0" customHeight="1">
      <x:c r="A60" s="22" t="str">
        <x:v>channels.iac.delay.isr_s</x:v>
      </x:c>
      <x:c r="B60" s="22"/>
      <x:c r="C60" s="22" t="str">
        <x:v>NoneType</x:v>
      </x:c>
      <x:c r="D60" s="22" t="str">
        <x:v>user/profile input</x:v>
      </x:c>
    </x:row>
    <x:row r="61" ht="15" hidden="0" customHeight="1">
      <x:c r="A61" s="22" t="str">
        <x:v>channels.iac.delay.pwm_s</x:v>
      </x:c>
      <x:c r="B61" s="22"/>
      <x:c r="C61" s="22" t="str">
        <x:v>NoneType</x:v>
      </x:c>
      <x:c r="D61" s="22" t="str">
        <x:v>user/profile input</x:v>
      </x:c>
    </x:row>
    <x:row r="62" ht="15" hidden="0" customHeight="1">
      <x:c r="A62" s="22" t="str">
        <x:v>channels.iac.error_sources</x:v>
      </x:c>
      <x:c r="B62" s="22" t="str">
        <x:v>[]</x:v>
      </x:c>
      <x:c r="C62" s="22" t="str">
        <x:v>list</x:v>
      </x:c>
      <x:c r="D62" s="22" t="str">
        <x:v>user/profile input</x:v>
      </x:c>
    </x:row>
    <x:row r="63" ht="15" hidden="0" customHeight="1">
      <x:c r="A63" s="22" t="str">
        <x:v>channels.idc.range_margin</x:v>
      </x:c>
      <x:c r="B63" s="22" t="n">
        <x:v>1.2</x:v>
      </x:c>
      <x:c r="C63" s="22" t="str">
        <x:v>float</x:v>
      </x:c>
      <x:c r="D63" s="22" t="str">
        <x:v>user/profile input</x:v>
      </x:c>
    </x:row>
    <x:row r="64" ht="15" hidden="0" customHeight="1">
      <x:c r="A64" s="22" t="str">
        <x:v>channels.idc.accuracy_target_percent_fs</x:v>
      </x:c>
      <x:c r="B64" s="22" t="n">
        <x:v>0.5</x:v>
      </x:c>
      <x:c r="C64" s="22" t="str">
        <x:v>float</x:v>
      </x:c>
      <x:c r="D64" s="22" t="str">
        <x:v>user/profile input</x:v>
      </x:c>
    </x:row>
    <x:row r="65" ht="15" hidden="0" customHeight="1">
      <x:c r="A65" s="22" t="str">
        <x:v>channels.idc.adc_headroom_low_v</x:v>
      </x:c>
      <x:c r="B65" s="22" t="n">
        <x:v>0.2</x:v>
      </x:c>
      <x:c r="C65" s="22" t="str">
        <x:v>float</x:v>
      </x:c>
      <x:c r="D65" s="22" t="str">
        <x:v>user/profile input</x:v>
      </x:c>
    </x:row>
    <x:row r="66" ht="15" hidden="0" customHeight="1">
      <x:c r="A66" s="22" t="str">
        <x:v>channels.idc.adc_headroom_high_v</x:v>
      </x:c>
      <x:c r="B66" s="22" t="n">
        <x:v>0.2</x:v>
      </x:c>
      <x:c r="C66" s="22" t="str">
        <x:v>float</x:v>
      </x:c>
      <x:c r="D66" s="22" t="str">
        <x:v>user/profile input</x:v>
      </x:c>
    </x:row>
    <x:row r="67" ht="15" hidden="0" customHeight="1">
      <x:c r="A67" s="22" t="str">
        <x:v>channels.idc.shunt.resistance_ohm</x:v>
      </x:c>
      <x:c r="B67" s="22" t="n">
        <x:v>0.001</x:v>
      </x:c>
      <x:c r="C67" s="22" t="str">
        <x:v>float</x:v>
      </x:c>
      <x:c r="D67" s="22" t="str">
        <x:v>user/profile input</x:v>
      </x:c>
    </x:row>
    <x:row r="68" ht="15" hidden="0" customHeight="1">
      <x:c r="A68" s="22" t="str">
        <x:v>channels.idc.amplifier.input_clip_v</x:v>
      </x:c>
      <x:c r="B68" s="22" t="n">
        <x:v>0.064</x:v>
      </x:c>
      <x:c r="C68" s="22" t="str">
        <x:v>float</x:v>
      </x:c>
      <x:c r="D68" s="22" t="str">
        <x:v>user/profile input</x:v>
      </x:c>
    </x:row>
    <x:row r="69" ht="15" hidden="0" customHeight="1">
      <x:c r="A69" s="22" t="str">
        <x:v>channels.idc.amplifier.reference_voltage_v</x:v>
      </x:c>
      <x:c r="B69" s="22" t="n">
        <x:v>3.3</x:v>
      </x:c>
      <x:c r="C69" s="22" t="str">
        <x:v>float</x:v>
      </x:c>
      <x:c r="D69" s="22" t="str">
        <x:v>user/profile input</x:v>
      </x:c>
    </x:row>
    <x:row r="70" ht="15" hidden="0" customHeight="1">
      <x:c r="A70" s="22" t="str">
        <x:v>channels.idc.amplifier.input_range_utilization</x:v>
      </x:c>
      <x:c r="B70" s="22" t="n">
        <x:v>0.8</x:v>
      </x:c>
      <x:c r="C70" s="22" t="str">
        <x:v>float</x:v>
      </x:c>
      <x:c r="D70" s="22" t="str">
        <x:v>user/profile input</x:v>
      </x:c>
    </x:row>
    <x:row r="71" ht="15" hidden="0" customHeight="1">
      <x:c r="A71" s="22" t="str">
        <x:v>channels.idc.amplifier.input_offset_v</x:v>
      </x:c>
      <x:c r="B71" s="22"/>
      <x:c r="C71" s="22" t="str">
        <x:v>NoneType</x:v>
      </x:c>
      <x:c r="D71" s="22" t="str">
        <x:v>user/profile input</x:v>
      </x:c>
    </x:row>
    <x:row r="72" ht="15" hidden="0" customHeight="1">
      <x:c r="A72" s="22" t="str">
        <x:v>channels.idc.amplifier.bandwidth_hz</x:v>
      </x:c>
      <x:c r="B72" s="22" t="n">
        <x:v>295000</x:v>
      </x:c>
      <x:c r="C72" s="22" t="str">
        <x:v>float</x:v>
      </x:c>
      <x:c r="D72" s="22" t="str">
        <x:v>user/profile input</x:v>
      </x:c>
    </x:row>
    <x:row r="73" ht="15" hidden="0" customHeight="1">
      <x:c r="A73" s="22" t="str">
        <x:v>channels.idc.filter.resistor_ohm</x:v>
      </x:c>
      <x:c r="B73" s="22" t="n">
        <x:v>499</x:v>
      </x:c>
      <x:c r="C73" s="22" t="str">
        <x:v>float</x:v>
      </x:c>
      <x:c r="D73" s="22" t="str">
        <x:v>user/profile input</x:v>
      </x:c>
    </x:row>
    <x:row r="74" ht="15" hidden="0" customHeight="1">
      <x:c r="A74" s="22" t="str">
        <x:v>channels.idc.filter.capacitor_f</x:v>
      </x:c>
      <x:c r="B74" s="22" t="n">
        <x:v>4.7e-8</x:v>
      </x:c>
      <x:c r="C74" s="22" t="str">
        <x:v>float</x:v>
      </x:c>
      <x:c r="D74" s="22" t="str">
        <x:v>user/profile input</x:v>
      </x:c>
    </x:row>
    <x:row r="75" ht="15" hidden="0" customHeight="1">
      <x:c r="A75" s="22" t="str">
        <x:v>channels.idc.delay.sensor_s</x:v>
      </x:c>
      <x:c r="B75" s="22" t="n">
        <x:v>0</x:v>
      </x:c>
      <x:c r="C75" s="22" t="str">
        <x:v>float</x:v>
      </x:c>
      <x:c r="D75" s="22" t="str">
        <x:v>user/profile input</x:v>
      </x:c>
    </x:row>
    <x:row r="76" ht="15" hidden="0" customHeight="1">
      <x:c r="A76" s="22" t="str">
        <x:v>channels.idc.delay.isolation_s</x:v>
      </x:c>
      <x:c r="B76" s="22"/>
      <x:c r="C76" s="22" t="str">
        <x:v>NoneType</x:v>
      </x:c>
      <x:c r="D76" s="22" t="str">
        <x:v>user/profile input</x:v>
      </x:c>
    </x:row>
    <x:row r="77" ht="15" hidden="0" customHeight="1">
      <x:c r="A77" s="22" t="str">
        <x:v>channels.idc.delay.adc_s</x:v>
      </x:c>
      <x:c r="B77" s="22"/>
      <x:c r="C77" s="22" t="str">
        <x:v>NoneType</x:v>
      </x:c>
      <x:c r="D77" s="22" t="str">
        <x:v>user/profile input</x:v>
      </x:c>
    </x:row>
    <x:row r="78" ht="15" hidden="0" customHeight="1">
      <x:c r="A78" s="22" t="str">
        <x:v>channels.idc.delay.isr_s</x:v>
      </x:c>
      <x:c r="B78" s="22"/>
      <x:c r="C78" s="22" t="str">
        <x:v>NoneType</x:v>
      </x:c>
      <x:c r="D78" s="22" t="str">
        <x:v>user/profile input</x:v>
      </x:c>
    </x:row>
    <x:row r="79" ht="15" hidden="0" customHeight="1">
      <x:c r="A79" s="22" t="str">
        <x:v>channels.idc.delay.pwm_s</x:v>
      </x:c>
      <x:c r="B79" s="22"/>
      <x:c r="C79" s="22" t="str">
        <x:v>NoneType</x:v>
      </x:c>
      <x:c r="D79" s="22" t="str">
        <x:v>user/profile input</x:v>
      </x:c>
    </x:row>
    <x:row r="80" ht="15" hidden="0" customHeight="1">
      <x:c r="A80" s="22" t="str">
        <x:v>channels.idc.error_sources</x:v>
      </x:c>
      <x:c r="B80" s="22" t="str">
        <x:v>[]</x:v>
      </x:c>
      <x:c r="C80" s="22" t="str">
        <x:v>list</x:v>
      </x:c>
      <x:c r="D80" s="22" t="str">
        <x:v>user/profile input</x:v>
      </x:c>
    </x:row>
    <x:row r="81" ht="15" hidden="0" customHeight="1">
      <x:c r="A81" s="22" t="str">
        <x:v>channels.vac.range_margin</x:v>
      </x:c>
      <x:c r="B81" s="22" t="n">
        <x:v>1.15</x:v>
      </x:c>
      <x:c r="C81" s="22" t="str">
        <x:v>float</x:v>
      </x:c>
      <x:c r="D81" s="22" t="str">
        <x:v>user/profile input</x:v>
      </x:c>
    </x:row>
    <x:row r="82" ht="15" hidden="0" customHeight="1">
      <x:c r="A82" s="22" t="str">
        <x:v>channels.vac.accuracy_target_percent_fs</x:v>
      </x:c>
      <x:c r="B82" s="22" t="n">
        <x:v>0.5</x:v>
      </x:c>
      <x:c r="C82" s="22" t="str">
        <x:v>float</x:v>
      </x:c>
      <x:c r="D82" s="22" t="str">
        <x:v>user/profile input</x:v>
      </x:c>
    </x:row>
    <x:row r="83" ht="15" hidden="0" customHeight="1">
      <x:c r="A83" s="22" t="str">
        <x:v>channels.vac.divider.high_side_total_ohm</x:v>
      </x:c>
      <x:c r="B83" s="22" t="n">
        <x:v>990000</x:v>
      </x:c>
      <x:c r="C83" s="22" t="str">
        <x:v>float</x:v>
      </x:c>
      <x:c r="D83" s="22" t="str">
        <x:v>user/profile input</x:v>
      </x:c>
    </x:row>
    <x:row r="84" ht="15" hidden="0" customHeight="1">
      <x:c r="A84" s="22" t="str">
        <x:v>channels.vac.divider.low_side_ohm</x:v>
      </x:c>
      <x:c r="B84" s="22" t="n">
        <x:v>3300</x:v>
      </x:c>
      <x:c r="C84" s="22" t="str">
        <x:v>float</x:v>
      </x:c>
      <x:c r="D84" s="22" t="str">
        <x:v>user/profile input</x:v>
      </x:c>
    </x:row>
    <x:row r="85" ht="15" hidden="0" customHeight="1">
      <x:c r="A85" s="22" t="str">
        <x:v>channels.vac.isolation.gain_v_per_v</x:v>
      </x:c>
      <x:c r="B85" s="22" t="n">
        <x:v>1</x:v>
      </x:c>
      <x:c r="C85" s="22" t="str">
        <x:v>float</x:v>
      </x:c>
      <x:c r="D85" s="22" t="str">
        <x:v>user/profile input</x:v>
      </x:c>
    </x:row>
    <x:row r="86" ht="15" hidden="0" customHeight="1">
      <x:c r="A86" s="22" t="str">
        <x:v>channels.vac.isolation.reference_voltage_v</x:v>
      </x:c>
      <x:c r="B86" s="22" t="n">
        <x:v>1.65</x:v>
      </x:c>
      <x:c r="C86" s="22" t="str">
        <x:v>float</x:v>
      </x:c>
      <x:c r="D86" s="22" t="str">
        <x:v>user/profile input</x:v>
      </x:c>
    </x:row>
    <x:row r="87" ht="15" hidden="0" customHeight="1">
      <x:c r="A87" s="22" t="str">
        <x:v>channels.vac.isolation.linear_input_abs_max_v</x:v>
      </x:c>
      <x:c r="B87" s="22" t="n">
        <x:v>1</x:v>
      </x:c>
      <x:c r="C87" s="22" t="str">
        <x:v>float</x:v>
      </x:c>
      <x:c r="D87" s="22" t="str">
        <x:v>user/profile input</x:v>
      </x:c>
    </x:row>
    <x:row r="88" ht="15" hidden="0" customHeight="1">
      <x:c r="A88" s="22" t="str">
        <x:v>channels.vac.isolation.input_range_utilization</x:v>
      </x:c>
      <x:c r="B88" s="22" t="n">
        <x:v>0.9</x:v>
      </x:c>
      <x:c r="C88" s="22" t="str">
        <x:v>float</x:v>
      </x:c>
      <x:c r="D88" s="22" t="str">
        <x:v>user/profile input</x:v>
      </x:c>
    </x:row>
    <x:row r="89" ht="15" hidden="0" customHeight="1">
      <x:c r="A89" s="22" t="str">
        <x:v>channels.vac.isolation.bandwidth_hz</x:v>
      </x:c>
      <x:c r="B89" s="22" t="n">
        <x:v>145000</x:v>
      </x:c>
      <x:c r="C89" s="22" t="str">
        <x:v>float</x:v>
      </x:c>
      <x:c r="D89" s="22" t="str">
        <x:v>user/profile input</x:v>
      </x:c>
    </x:row>
    <x:row r="90" ht="15" hidden="0" customHeight="1">
      <x:c r="A90" s="22" t="str">
        <x:v>channels.vac.filter.resistor_ohm</x:v>
      </x:c>
      <x:c r="B90" s="22" t="n">
        <x:v>100</x:v>
      </x:c>
      <x:c r="C90" s="22" t="str">
        <x:v>float</x:v>
      </x:c>
      <x:c r="D90" s="22" t="str">
        <x:v>user/profile input</x:v>
      </x:c>
    </x:row>
    <x:row r="91" ht="15" hidden="0" customHeight="1">
      <x:c r="A91" s="22" t="str">
        <x:v>channels.vac.filter.capacitor_f</x:v>
      </x:c>
      <x:c r="B91" s="22" t="n">
        <x:v>4.7e-9</x:v>
      </x:c>
      <x:c r="C91" s="22" t="str">
        <x:v>float</x:v>
      </x:c>
      <x:c r="D91" s="22" t="str">
        <x:v>user/profile input</x:v>
      </x:c>
    </x:row>
    <x:row r="92" ht="15" hidden="0" customHeight="1">
      <x:c r="A92" s="22" t="str">
        <x:v>channels.vac.delay.sensor_s</x:v>
      </x:c>
      <x:c r="B92" s="22" t="n">
        <x:v>0</x:v>
      </x:c>
      <x:c r="C92" s="22" t="str">
        <x:v>float</x:v>
      </x:c>
      <x:c r="D92" s="22" t="str">
        <x:v>user/profile input</x:v>
      </x:c>
    </x:row>
    <x:row r="93" ht="15" hidden="0" customHeight="1">
      <x:c r="A93" s="22" t="str">
        <x:v>channels.vac.delay.isolation_s</x:v>
      </x:c>
      <x:c r="B93" s="22" t="n">
        <x:v>0.0000029</x:v>
      </x:c>
      <x:c r="C93" s="22" t="str">
        <x:v>float</x:v>
      </x:c>
      <x:c r="D93" s="22" t="str">
        <x:v>user/profile input</x:v>
      </x:c>
    </x:row>
    <x:row r="94" ht="15" hidden="0" customHeight="1">
      <x:c r="A94" s="22" t="str">
        <x:v>channels.vac.delay.adc_s</x:v>
      </x:c>
      <x:c r="B94" s="22"/>
      <x:c r="C94" s="22" t="str">
        <x:v>NoneType</x:v>
      </x:c>
      <x:c r="D94" s="22" t="str">
        <x:v>user/profile input</x:v>
      </x:c>
    </x:row>
    <x:row r="95" ht="15" hidden="0" customHeight="1">
      <x:c r="A95" s="22" t="str">
        <x:v>channels.vac.delay.isr_s</x:v>
      </x:c>
      <x:c r="B95" s="22"/>
      <x:c r="C95" s="22" t="str">
        <x:v>NoneType</x:v>
      </x:c>
      <x:c r="D95" s="22" t="str">
        <x:v>user/profile input</x:v>
      </x:c>
    </x:row>
    <x:row r="96" ht="15" hidden="0" customHeight="1">
      <x:c r="A96" s="22" t="str">
        <x:v>channels.vac.delay.pwm_s</x:v>
      </x:c>
      <x:c r="B96" s="22"/>
      <x:c r="C96" s="22" t="str">
        <x:v>NoneType</x:v>
      </x:c>
      <x:c r="D96" s="22" t="str">
        <x:v>user/profile input</x:v>
      </x:c>
    </x:row>
    <x:row r="97" ht="15" hidden="0" customHeight="1">
      <x:c r="A97" s="22" t="str">
        <x:v>channels.vac.error_sources</x:v>
      </x:c>
      <x:c r="B97" s="22" t="str">
        <x:v>[]</x:v>
      </x:c>
      <x:c r="C97" s="22" t="str">
        <x:v>list</x:v>
      </x:c>
      <x:c r="D97" s="22" t="str">
        <x:v>user/profile input</x:v>
      </x:c>
    </x:row>
    <x:row r="98" ht="15" hidden="0" customHeight="1">
      <x:c r="A98" s="22" t="str">
        <x:v>channels.vdc.range_margin</x:v>
      </x:c>
      <x:c r="B98" s="22" t="n">
        <x:v>1.15</x:v>
      </x:c>
      <x:c r="C98" s="22" t="str">
        <x:v>float</x:v>
      </x:c>
      <x:c r="D98" s="22" t="str">
        <x:v>user/profile input</x:v>
      </x:c>
    </x:row>
    <x:row r="99" ht="15" hidden="0" customHeight="1">
      <x:c r="A99" s="22" t="str">
        <x:v>channels.vdc.accuracy_target_percent_fs</x:v>
      </x:c>
      <x:c r="B99" s="22" t="n">
        <x:v>0.5</x:v>
      </x:c>
      <x:c r="C99" s="22" t="str">
        <x:v>float</x:v>
      </x:c>
      <x:c r="D99" s="22" t="str">
        <x:v>user/profile input</x:v>
      </x:c>
    </x:row>
    <x:row r="100" ht="15" hidden="0" customHeight="1">
      <x:c r="A100" s="22" t="str">
        <x:v>channels.vdc.architecture</x:v>
      </x:c>
      <x:c r="B100" s="22" t="str">
        <x:v>direct_hv</x:v>
      </x:c>
      <x:c r="C100" s="22" t="str">
        <x:v>str</x:v>
      </x:c>
      <x:c r="D100" s="22" t="str">
        <x:v>user/profile input</x:v>
      </x:c>
    </x:row>
    <x:row r="101" ht="15" hidden="0" customHeight="1">
      <x:c r="A101" s="22" t="str">
        <x:v>channels.vdc.direct_hv.high_voltage_clip_v</x:v>
      </x:c>
      <x:c r="B101" s="22" t="n">
        <x:v>1281</x:v>
      </x:c>
      <x:c r="C101" s="22" t="str">
        <x:v>float</x:v>
      </x:c>
      <x:c r="D101" s="22" t="str">
        <x:v>user/profile input</x:v>
      </x:c>
    </x:row>
    <x:row r="102" ht="15" hidden="0" customHeight="1">
      <x:c r="A102" s="22" t="str">
        <x:v>channels.vdc.direct_hv.reference_voltage_v</x:v>
      </x:c>
      <x:c r="B102" s="22" t="n">
        <x:v>3.3</x:v>
      </x:c>
      <x:c r="C102" s="22" t="str">
        <x:v>float</x:v>
      </x:c>
      <x:c r="D102" s="22" t="str">
        <x:v>user/profile input</x:v>
      </x:c>
    </x:row>
    <x:row r="103" ht="15" hidden="0" customHeight="1">
      <x:c r="A103" s="22" t="str">
        <x:v>channels.vdc.direct_hv.bandwidth_hz</x:v>
      </x:c>
      <x:c r="B103" s="22"/>
      <x:c r="C103" s="22" t="str">
        <x:v>NoneType</x:v>
      </x:c>
      <x:c r="D103" s="22" t="str">
        <x:v>user/profile input</x:v>
      </x:c>
    </x:row>
    <x:row r="104" ht="15" hidden="0" customHeight="1">
      <x:c r="A104" s="22" t="str">
        <x:v>channels.vdc.filter.resistor_ohm</x:v>
      </x:c>
      <x:c r="B104" s="22" t="n">
        <x:v>499</x:v>
      </x:c>
      <x:c r="C104" s="22" t="str">
        <x:v>float</x:v>
      </x:c>
      <x:c r="D104" s="22" t="str">
        <x:v>user/profile input</x:v>
      </x:c>
    </x:row>
    <x:row r="105" ht="15" hidden="0" customHeight="1">
      <x:c r="A105" s="22" t="str">
        <x:v>channels.vdc.filter.capacitor_f</x:v>
      </x:c>
      <x:c r="B105" s="22" t="n">
        <x:v>4.7e-8</x:v>
      </x:c>
      <x:c r="C105" s="22" t="str">
        <x:v>float</x:v>
      </x:c>
      <x:c r="D105" s="22" t="str">
        <x:v>user/profile input</x:v>
      </x:c>
    </x:row>
    <x:row r="106" ht="15" hidden="0" customHeight="1">
      <x:c r="A106" s="22" t="str">
        <x:v>channels.vdc.delay.sensor_s</x:v>
      </x:c>
      <x:c r="B106" s="22"/>
      <x:c r="C106" s="22" t="str">
        <x:v>NoneType</x:v>
      </x:c>
      <x:c r="D106" s="22" t="str">
        <x:v>user/profile input</x:v>
      </x:c>
    </x:row>
    <x:row r="107" ht="15" hidden="0" customHeight="1">
      <x:c r="A107" s="22" t="str">
        <x:v>channels.vdc.delay.isolation_s</x:v>
      </x:c>
      <x:c r="B107" s="22"/>
      <x:c r="C107" s="22" t="str">
        <x:v>NoneType</x:v>
      </x:c>
      <x:c r="D107" s="22" t="str">
        <x:v>user/profile input</x:v>
      </x:c>
    </x:row>
    <x:row r="108" ht="15" hidden="0" customHeight="1">
      <x:c r="A108" s="22" t="str">
        <x:v>channels.vdc.delay.adc_s</x:v>
      </x:c>
      <x:c r="B108" s="22"/>
      <x:c r="C108" s="22" t="str">
        <x:v>NoneType</x:v>
      </x:c>
      <x:c r="D108" s="22" t="str">
        <x:v>user/profile input</x:v>
      </x:c>
    </x:row>
    <x:row r="109" ht="15" hidden="0" customHeight="1">
      <x:c r="A109" s="22" t="str">
        <x:v>channels.vdc.delay.isr_s</x:v>
      </x:c>
      <x:c r="B109" s="22"/>
      <x:c r="C109" s="22" t="str">
        <x:v>NoneType</x:v>
      </x:c>
      <x:c r="D109" s="22" t="str">
        <x:v>user/profile input</x:v>
      </x:c>
    </x:row>
    <x:row r="110" ht="15" hidden="0" customHeight="1">
      <x:c r="A110" s="22" t="str">
        <x:v>channels.vdc.delay.pwm_s</x:v>
      </x:c>
      <x:c r="B110" s="22"/>
      <x:c r="C110" s="22" t="str">
        <x:v>NoneType</x:v>
      </x:c>
      <x:c r="D110" s="22" t="str">
        <x:v>user/profile input</x:v>
      </x:c>
    </x:row>
    <x:row r="111" ht="15" hidden="0" customHeight="1">
      <x:c r="A111" s="22" t="str">
        <x:v>channels.vdc.error_sources</x:v>
      </x:c>
      <x:c r="B111" s="22" t="str">
        <x:v>[]</x:v>
      </x:c>
      <x:c r="C111" s="22" t="str">
        <x:v>list</x:v>
      </x:c>
      <x:c r="D111" s="22" t="str">
        <x:v>user/profile input</x:v>
      </x:c>
    </x:row>
    <x:row r="112" ht="607.2000122070312" hidden="0" customHeight="1">
      <x:c r="A112" s="22" t="str">
        <x:v>assumptions</x:v>
      </x:c>
      <x:c r="B112" s="22" t="str">
        <x:v>[{'topic': 'System power', 'value': '2.5 kW', 'source_type': 'project context', 'qualification': 'Confirm continuous and overload power for the actual test article.'}, {'topic': 'AC input range', 'value': '180–265 Vrms', 'source_type': 'PMP23607 Rev. E2 schematic', 'qualification': 'Observed hardware range.'}, {'topic': 'DC operating range', 'value': '370–420 V', 'source_type': 'legacy software macros', 'qualification': 'Provisional; confirm PMP23607 battery/output specification.'}, {'topic': 'Control bandwidths', 'value': 'IAC 3 kHz; IDC 2 kHz; VDC 20 Hz; PLL 30 Hz', 'source_type': 'engineering default', 'qualification': 'Provisional; replace with measured plant/controller targets.'}, {'topic': 'Phase budgets', 'value': 'IAC/IDC 15 deg; VDC/VAC PLL 5 deg; line VAC 0.5 deg', 'source_type': 'engineering default', 'qualification': 'User-confirmed MVP defaults.'}, {'topic': 'F29H85x internal ADC model', 'value': 'Not populated', 'source_type': 'missing authoritative parameter', 'qualification': 'Exact acquisition model remains NOT_EVALUATED until data-sheet/model values are entered.'}, {'topic': 'Component error budgets', 'value': 'Empty by default', 'source_type': 'fail-closed design rule', 'qualification': 'Enter exact maximum errors and drift before design release.'}]</x:v>
      </x:c>
      <x:c r="C112" s="22" t="str">
        <x:v>list</x:v>
      </x:c>
      <x:c r="D112" s="22" t="str">
        <x:v>user/profile input</x:v>
      </x:c>
    </x:row>
    <x:row r="113" ht="15" hidden="0" customHeight="1">
      <x:c r="A113" s="22" t="str">
        <x:v>standard_profile.enabled</x:v>
      </x:c>
      <x:c r="B113" s="28" t="b">
        <x:v>1</x:v>
      </x:c>
      <x:c r="C113" s="22" t="str">
        <x:v>bool</x:v>
      </x:c>
      <x:c r="D113" s="22" t="str">
        <x:v>user/profile input</x:v>
      </x:c>
    </x:row>
    <x:row r="114" ht="15" hidden="0" customHeight="1">
      <x:c r="A114" s="22" t="str">
        <x:v>standard_profile.name</x:v>
      </x:c>
      <x:c r="B114" s="22" t="str">
        <x:v>GB/T 40432-2021</x:v>
      </x:c>
      <x:c r="C114" s="22" t="str">
        <x:v>str</x:v>
      </x:c>
      <x:c r="D114" s="22" t="str">
        <x:v>user/profile input</x:v>
      </x:c>
    </x:row>
    <x:row r="115" ht="15" hidden="0" customHeight="1">
      <x:c r="A115" s="22" t="str">
        <x:v>standard_profile.source_document</x:v>
      </x:c>
      <x:c r="B115" s="22" t="str">
        <x:v>GBT+40432-2021.pdf</x:v>
      </x:c>
      <x:c r="C115" s="22" t="str">
        <x:v>str</x:v>
      </x:c>
      <x:c r="D115" s="22" t="str">
        <x:v>user/profile input</x:v>
      </x:c>
    </x:row>
    <x:row r="116" ht="15" hidden="0" customHeight="1">
      <x:c r="A116" s="22" t="str">
        <x:v>standard_profile.scope.max_dc_output_v</x:v>
      </x:c>
      <x:c r="B116" s="22" t="n">
        <x:v>1500</x:v>
      </x:c>
      <x:c r="C116" s="22" t="str">
        <x:v>float</x:v>
      </x:c>
      <x:c r="D116" s="22" t="str">
        <x:v>user/profile input</x:v>
      </x:c>
    </x:row>
    <x:row r="117" ht="15" hidden="0" customHeight="1">
      <x:c r="A117" s="22" t="str">
        <x:v>standard_profile.ac_input.single_phase_nominal_v</x:v>
      </x:c>
      <x:c r="B117" s="22" t="n">
        <x:v>220</x:v>
      </x:c>
      <x:c r="C117" s="22" t="str">
        <x:v>float</x:v>
      </x:c>
      <x:c r="D117" s="22" t="str">
        <x:v>user/profile input</x:v>
      </x:c>
    </x:row>
    <x:row r="118" ht="15" hidden="0" customHeight="1">
      <x:c r="A118" s="22" t="str">
        <x:v>standard_profile.ac_input.three_phase_line_nominal_v</x:v>
      </x:c>
      <x:c r="B118" s="22" t="n">
        <x:v>380</x:v>
      </x:c>
      <x:c r="C118" s="22" t="str">
        <x:v>float</x:v>
      </x:c>
      <x:c r="D118" s="22" t="str">
        <x:v>user/profile input</x:v>
      </x:c>
    </x:row>
    <x:row r="119" ht="15" hidden="0" customHeight="1">
      <x:c r="A119" s="22" t="str">
        <x:v>standard_profile.ac_input.voltage_tolerance_percent</x:v>
      </x:c>
      <x:c r="B119" s="22" t="n">
        <x:v>15</x:v>
      </x:c>
      <x:c r="C119" s="22" t="str">
        <x:v>float</x:v>
      </x:c>
      <x:c r="D119" s="22" t="str">
        <x:v>user/profile input</x:v>
      </x:c>
    </x:row>
    <x:row r="120" ht="15" hidden="0" customHeight="1">
      <x:c r="A120" s="22" t="str">
        <x:v>standard_profile.ac_input.nominal_frequency_hz</x:v>
      </x:c>
      <x:c r="B120" s="22" t="n">
        <x:v>50</x:v>
      </x:c>
      <x:c r="C120" s="22" t="str">
        <x:v>float</x:v>
      </x:c>
      <x:c r="D120" s="22" t="str">
        <x:v>user/profile input</x:v>
      </x:c>
    </x:row>
    <x:row r="121" ht="15" hidden="0" customHeight="1">
      <x:c r="A121" s="22" t="str">
        <x:v>standard_profile.ac_input.frequency_tolerance_hz</x:v>
      </x:c>
      <x:c r="B121" s="22" t="n">
        <x:v>1</x:v>
      </x:c>
      <x:c r="C121" s="22" t="str">
        <x:v>float</x:v>
      </x:c>
      <x:c r="D121" s="22" t="str">
        <x:v>user/profile input</x:v>
      </x:c>
    </x:row>
    <x:row r="122" ht="15" hidden="0" customHeight="1">
      <x:c r="A122" s="22" t="str">
        <x:v>standard_profile.ac_input.three_phase_phase_deviation_deg</x:v>
      </x:c>
      <x:c r="B122" s="22" t="n">
        <x:v>3</x:v>
      </x:c>
      <x:c r="C122" s="22" t="str">
        <x:v>float</x:v>
      </x:c>
      <x:c r="D122" s="22" t="str">
        <x:v>user/profile input</x:v>
      </x:c>
    </x:row>
    <x:row r="123" ht="15" hidden="0" customHeight="1">
      <x:c r="A123" s="22" t="str">
        <x:v>standard_profile.current.startup_inrush_peak_ratio_max</x:v>
      </x:c>
      <x:c r="B123" s="22" t="n">
        <x:v>1.2</x:v>
      </x:c>
      <x:c r="C123" s="22" t="str">
        <x:v>float</x:v>
      </x:c>
      <x:c r="D123" s="22" t="str">
        <x:v>user/profile input</x:v>
      </x:c>
    </x:row>
    <x:row r="124" ht="15" hidden="0" customHeight="1">
      <x:c r="A124" s="22" t="str">
        <x:v>standard_profile.dc_output.voltage_error_percent_max</x:v>
      </x:c>
      <x:c r="B124" s="22" t="n">
        <x:v>1</x:v>
      </x:c>
      <x:c r="C124" s="22" t="str">
        <x:v>float</x:v>
      </x:c>
      <x:c r="D124" s="22" t="str">
        <x:v>user/profile input</x:v>
      </x:c>
    </x:row>
    <x:row r="125" ht="15" hidden="0" customHeight="1">
      <x:c r="A125" s="22" t="str">
        <x:v>standard_profile.dc_output.current_error_threshold_a</x:v>
      </x:c>
      <x:c r="B125" s="22" t="n">
        <x:v>10</x:v>
      </x:c>
      <x:c r="C125" s="22" t="str">
        <x:v>float</x:v>
      </x:c>
      <x:c r="D125" s="22" t="str">
        <x:v>user/profile input</x:v>
      </x:c>
    </x:row>
    <x:row r="126" ht="26.399999618530273" hidden="0" customHeight="1">
      <x:c r="A126" s="22" t="str">
        <x:v>standard_profile.dc_output.current_error_above_threshold_percent</x:v>
      </x:c>
      <x:c r="B126" s="22" t="n">
        <x:v>5</x:v>
      </x:c>
      <x:c r="C126" s="22" t="str">
        <x:v>float</x:v>
      </x:c>
      <x:c r="D126" s="22" t="str">
        <x:v>user/profile input</x:v>
      </x:c>
    </x:row>
    <x:row r="127" ht="26.399999618530273" hidden="0" customHeight="1">
      <x:c r="A127" s="22" t="str">
        <x:v>standard_profile.dc_output.current_error_at_or_below_threshold_a</x:v>
      </x:c>
      <x:c r="B127" s="22" t="n">
        <x:v>0.5</x:v>
      </x:c>
      <x:c r="C127" s="22" t="str">
        <x:v>float</x:v>
      </x:c>
      <x:c r="D127" s="22" t="str">
        <x:v>user/profile input</x:v>
      </x:c>
    </x:row>
    <x:row r="128" ht="15" hidden="0" customHeight="1">
      <x:c r="A128" s="22" t="str">
        <x:v>standard_profile.dc_output.voltage_ripple_factor_percent_max</x:v>
      </x:c>
      <x:c r="B128" s="22" t="n">
        <x:v>5</x:v>
      </x:c>
      <x:c r="C128" s="22" t="str">
        <x:v>float</x:v>
      </x:c>
      <x:c r="D128" s="22" t="str">
        <x:v>user/profile input</x:v>
      </x:c>
    </x:row>
    <x:row r="129" ht="26.399999618530273" hidden="0" customHeight="1">
      <x:c r="A129" s="22" t="str">
        <x:v>standard_profile.dc_output.startup_voltage_overshoot_percent_max</x:v>
      </x:c>
      <x:c r="B129" s="22" t="n">
        <x:v>10</x:v>
      </x:c>
      <x:c r="C129" s="22" t="str">
        <x:v>float</x:v>
      </x:c>
      <x:c r="D129" s="22" t="str">
        <x:v>user/profile input</x:v>
      </x:c>
    </x:row>
    <x:row r="130" ht="26.399999618530273" hidden="0" customHeight="1">
      <x:c r="A130" s="22" t="str">
        <x:v>standard_profile.dc_output.startup_current_overshoot_percent_max</x:v>
      </x:c>
      <x:c r="B130" s="22" t="n">
        <x:v>5</x:v>
      </x:c>
      <x:c r="C130" s="22" t="str">
        <x:v>float</x:v>
      </x:c>
      <x:c r="D130" s="22" t="str">
        <x:v>user/profile input</x:v>
      </x:c>
    </x:row>
    <x:row r="131" ht="15" hidden="0" customHeight="1">
      <x:c r="A131" s="22" t="str">
        <x:v>standard_profile.power_quality.pf_rated_min</x:v>
      </x:c>
      <x:c r="B131" s="22" t="n">
        <x:v>0.98</x:v>
      </x:c>
      <x:c r="C131" s="22" t="str">
        <x:v>float</x:v>
      </x:c>
      <x:c r="D131" s="22" t="str">
        <x:v>user/profile input</x:v>
      </x:c>
    </x:row>
    <x:row r="132" ht="15" hidden="0" customHeight="1">
      <x:c r="A132" s="22" t="str">
        <x:v>standard_profile.power_quality.pf_half_load_min</x:v>
      </x:c>
      <x:c r="B132" s="22" t="n">
        <x:v>0.95</x:v>
      </x:c>
      <x:c r="C132" s="22" t="str">
        <x:v>float</x:v>
      </x:c>
      <x:c r="D132" s="22" t="str">
        <x:v>user/profile input</x:v>
      </x:c>
    </x:row>
    <x:row r="133" ht="15" hidden="0" customHeight="1">
      <x:c r="A133" s="22" t="str">
        <x:v>standard_profile.power_quality.efficiency_class</x:v>
      </x:c>
      <x:c r="B133" s="22" t="str">
        <x:v>E1</x:v>
      </x:c>
      <x:c r="C133" s="22" t="str">
        <x:v>str</x:v>
      </x:c>
      <x:c r="D133" s="22" t="str">
        <x:v>user/profile input</x:v>
      </x:c>
    </x:row>
    <x:row r="134" ht="15" hidden="0" customHeight="1">
      <x:c r="A134" s="22" t="str">
        <x:v>standard_profile.power_quality.average_efficiency_min</x:v>
      </x:c>
      <x:c r="B134" s="22" t="n">
        <x:v>0.94</x:v>
      </x:c>
      <x:c r="C134" s="22" t="str">
        <x:v>float</x:v>
      </x:c>
      <x:c r="D134" s="22" t="str">
        <x:v>user/profile input</x:v>
      </x:c>
    </x:row>
    <x:row r="135" ht="15" hidden="0" customHeight="1">
      <x:c r="A135" s="22" t="str">
        <x:v>standard_profile.power_quality.efficiency_voltage_points</x:v>
      </x:c>
      <x:c r="B135" s="22" t="n">
        <x:v>10</x:v>
      </x:c>
      <x:c r="C135" s="22" t="str">
        <x:v>int</x:v>
      </x:c>
      <x:c r="D135" s="22" t="str">
        <x:v>user/profile input</x:v>
      </x:c>
    </x:row>
    <x:row r="136" ht="15" hidden="0" customHeight="1">
      <x:c r="A136" s="22" t="str">
        <x:v>standard_profile.power_quality.efficiency_warmup_min</x:v>
      </x:c>
      <x:c r="B136" s="22" t="n">
        <x:v>30</x:v>
      </x:c>
      <x:c r="C136" s="22" t="str">
        <x:v>int</x:v>
      </x:c>
      <x:c r="D136" s="22" t="str">
        <x:v>user/profile input</x:v>
      </x:c>
    </x:row>
    <x:row r="137" ht="26.399999618530273" hidden="0" customHeight="1">
      <x:c r="A137" s="22" t="str">
        <x:v>standard_profile.design_allocation.sensing_error_budget_fraction</x:v>
      </x:c>
      <x:c r="B137" s="22" t="n">
        <x:v>0.5</x:v>
      </x:c>
      <x:c r="C137" s="22" t="str">
        <x:v>float</x:v>
      </x:c>
      <x:c r="D137" s="22" t="str">
        <x:v>user/profile input</x:v>
      </x:c>
    </x:row>
    <x:row r="138" ht="15" hidden="0" customHeight="1">
      <x:c r="A138" s="22" t="str">
        <x:v>standard_profile.test_equipment.ripple_scope_bandwidth_hz</x:v>
      </x:c>
      <x:c r="B138" s="22" t="n">
        <x:v>20000000</x:v>
      </x:c>
      <x:c r="C138" s="22" t="str">
        <x:v>float</x:v>
      </x:c>
      <x:c r="D138" s="22" t="str">
        <x:v>user/profile input</x:v>
      </x:c>
    </x:row>
    <x:row r="139" ht="26.399999618530273" hidden="0" customHeight="1">
      <x:c r="A139" s="22" t="str">
        <x:v>standard_profile.test_equipment.ripple_scope_timebase_min_s_per_div</x:v>
      </x:c>
      <x:c r="B139" s="22" t="n">
        <x:v>0.5</x:v>
      </x:c>
      <x:c r="C139" s="22" t="str">
        <x:v>float</x:v>
      </x:c>
      <x:c r="D139" s="22" t="str">
        <x:v>user/profile input</x:v>
      </x:c>
    </x:row>
    <x:row r="140" ht="15" hidden="0" customHeight="1">
      <x:c r="A140" s="22" t="str">
        <x:v>standard_profile.environment.storage_temperature_min_c</x:v>
      </x:c>
      <x:c r="B140" s="22" t="n">
        <x:v>-40</x:v>
      </x:c>
      <x:c r="C140" s="22" t="str">
        <x:v>float</x:v>
      </x:c>
      <x:c r="D140" s="22" t="str">
        <x:v>user/profile input</x:v>
      </x:c>
    </x:row>
    <x:row r="141" ht="15" hidden="0" customHeight="1">
      <x:c r="A141" s="22" t="str">
        <x:v>standard_profile.environment.operating_temperature_min_c</x:v>
      </x:c>
      <x:c r="B141" s="22" t="n">
        <x:v>-20</x:v>
      </x:c>
      <x:c r="C141" s="22" t="str">
        <x:v>float</x:v>
      </x:c>
      <x:c r="D141" s="22" t="str">
        <x:v>user/profile input</x:v>
      </x:c>
    </x:row>
    <x:row r="142" ht="15" hidden="0" customHeight="1">
      <x:c r="A142" s="22" t="str">
        <x:v>standard_profile.environment.storage_temperature_max_c</x:v>
      </x:c>
      <x:c r="B142" s="22" t="n">
        <x:v>85</x:v>
      </x:c>
      <x:c r="C142" s="22" t="str">
        <x:v>float</x:v>
      </x:c>
      <x:c r="D142" s="22" t="str">
        <x:v>user/profile input</x:v>
      </x:c>
    </x:row>
    <x:row r="143" ht="26.399999618530273" hidden="0" customHeight="1">
      <x:c r="A143" s="22" t="str">
        <x:v>standard_profile.environment.operating_temperature_max_liquid_c</x:v>
      </x:c>
      <x:c r="B143" s="22" t="n">
        <x:v>65</x:v>
      </x:c>
      <x:c r="C143" s="22" t="str">
        <x:v>float</x:v>
      </x:c>
      <x:c r="D143" s="22" t="str">
        <x:v>user/profile input</x:v>
      </x:c>
    </x:row>
    <x:row r="144" ht="26.399999618530273" hidden="0" customHeight="1">
      <x:c r="A144" s="22" t="str">
        <x:v>standard_profile.environment.operating_temperature_max_air_c</x:v>
      </x:c>
      <x:c r="B144" s="22" t="n">
        <x:v>55</x:v>
      </x:c>
      <x:c r="C144" s="22" t="str">
        <x:v>float</x:v>
      </x:c>
      <x:c r="D144" s="22" t="str">
        <x:v>user/profile input</x:v>
      </x:c>
    </x:row>
    <x:row r="145" ht="15" hidden="0" customHeight="1">
      <x:c r="A145" s="22" t="str">
        <x:v>standard_profile.environment.relative_humidity_min_percent</x:v>
      </x:c>
      <x:c r="B145" s="22" t="n">
        <x:v>5</x:v>
      </x:c>
      <x:c r="C145" s="22" t="str">
        <x:v>float</x:v>
      </x:c>
      <x:c r="D145" s="22" t="str">
        <x:v>user/profile input</x:v>
      </x:c>
    </x:row>
    <x:row r="146" ht="15" hidden="0" customHeight="1">
      <x:c r="A146" s="22" t="str">
        <x:v>standard_profile.environment.relative_humidity_max_percent</x:v>
      </x:c>
      <x:c r="B146" s="22" t="n">
        <x:v>95</x:v>
      </x:c>
      <x:c r="C146" s="22" t="str">
        <x:v>float</x:v>
      </x:c>
      <x:c r="D146" s="22" t="str">
        <x:v>user/profile input</x:v>
      </x:c>
    </x:row>
    <x:row r="147" ht="15" hidden="0" customHeight="1">
      <x:c r="A147" s="22" t="str">
        <x:v>standard_profile.environment.altitude_max_m</x:v>
      </x:c>
      <x:c r="B147" s="22" t="n">
        <x:v>2000</x:v>
      </x:c>
      <x:c r="C147" s="22" t="str">
        <x:v>float</x:v>
      </x:c>
      <x:c r="D147" s="22" t="str">
        <x:v>user/profile input</x:v>
      </x:c>
    </x:row>
    <x:row r="148" ht="15" hidden="0" customHeight="1">
      <x:c r="A148" s="22" t="str">
        <x:v>standard_profile.safety.udmax_v</x:v>
      </x:c>
      <x:c r="B148" s="22"/>
      <x:c r="C148" s="22" t="str">
        <x:v>NoneType</x:v>
      </x:c>
      <x:c r="D148" s="22" t="str">
        <x:v>user/profile input</x:v>
      </x:c>
    </x:row>
    <x:row r="149" ht="15" hidden="0" customHeight="1">
      <x:c r="A149" s="22" t="str">
        <x:v>standard_profile.safety.actual_isolation_withstand_rms_v</x:v>
      </x:c>
      <x:c r="B149" s="22"/>
      <x:c r="C149" s="22" t="str">
        <x:v>NoneType</x:v>
      </x:c>
      <x:c r="D149" s="22" t="str">
        <x:v>user/profile input</x:v>
      </x:c>
    </x:row>
    <x:row r="150" ht="15" hidden="0" customHeight="1">
      <x:c r="A150" s="22" t="str">
        <x:v>standard_profile.emc.surge_differential_v</x:v>
      </x:c>
      <x:c r="B150" s="22" t="n">
        <x:v>1000</x:v>
      </x:c>
      <x:c r="C150" s="22" t="str">
        <x:v>float</x:v>
      </x:c>
      <x:c r="D150" s="22" t="str">
        <x:v>user/profile input</x:v>
      </x:c>
    </x:row>
    <x:row r="151" ht="15" hidden="0" customHeight="1">
      <x:c r="A151" s="22" t="str">
        <x:v>standard_profile.emc.surge_common_mode_v</x:v>
      </x:c>
      <x:c r="B151" s="22" t="n">
        <x:v>2000</x:v>
      </x:c>
      <x:c r="C151" s="22" t="str">
        <x:v>float</x:v>
      </x:c>
      <x:c r="D151" s="22" t="str">
        <x:v>user/profile input</x:v>
      </x:c>
    </x:row>
    <x:row r="152" ht="15" hidden="0" customHeight="1">
      <x:c r="A152" s="22" t="str">
        <x:v>standard_profile.emc.eft_level</x:v>
      </x:c>
      <x:c r="B152" s="22" t="n">
        <x:v>3</x:v>
      </x:c>
      <x:c r="C152" s="22" t="str">
        <x:v>int</x:v>
      </x:c>
      <x:c r="D152" s="22" t="str">
        <x:v>user/profile input</x:v>
      </x:c>
    </x:row>
    <x:row r="153" ht="15" hidden="0" customHeight="1">
      <x:c r="A153" s="22" t="str">
        <x:v>standard_profile.emc.eft_repetition_hz</x:v>
      </x:c>
      <x:c r="B153" s="22" t="n">
        <x:v>5000</x:v>
      </x:c>
      <x:c r="C153" s="22" t="str">
        <x:v>float</x:v>
      </x:c>
      <x:c r="D153" s="22" t="str">
        <x:v>user/profile input</x:v>
      </x:c>
    </x:row>
    <x:row r="154" ht="15" hidden="0" customHeight="1">
      <x:c r="A154" s="22" t="str">
        <x:v>standard_profile.emc.radiated_immunity_min_hz</x:v>
      </x:c>
      <x:c r="B154" s="22" t="n">
        <x:v>80000000</x:v>
      </x:c>
      <x:c r="C154" s="22" t="str">
        <x:v>float</x:v>
      </x:c>
      <x:c r="D154" s="22" t="str">
        <x:v>user/profile input</x:v>
      </x:c>
    </x:row>
    <x:row r="155" ht="15" hidden="0" customHeight="1">
      <x:c r="A155" s="22" t="str">
        <x:v>standard_profile.emc.radiated_immunity_max_hz</x:v>
      </x:c>
      <x:c r="B155" s="22" t="n">
        <x:v>2000000000</x:v>
      </x:c>
      <x:c r="C155" s="22" t="str">
        <x:v>float</x:v>
      </x:c>
      <x:c r="D155" s="22" t="str">
        <x:v>user/profile input</x:v>
      </x:c>
    </x:row>
    <x:row r="156" ht="15" hidden="0" customHeight="1">
      <x:c r="A156" s="22" t="str">
        <x:v>standard_profile.emc.radiated_immunity_v_per_m</x:v>
      </x:c>
      <x:c r="B156" s="22" t="n">
        <x:v>75</x:v>
      </x:c>
      <x:c r="C156" s="22" t="str">
        <x:v>float</x:v>
      </x:c>
      <x:c r="D156" s="22" t="str">
        <x:v>user/profile input</x:v>
      </x:c>
    </x:row>
    <x:row r="157" ht="211.1999969482422" hidden="0" customHeight="1">
      <x:c r="A157" s="22" t="str">
        <x:v>standard_profile.voltage_dip_tests</x:v>
      </x:c>
      <x:c r="B157" s="22" t="str">
        <x:v>[{'voltage_percent': 80.0, 'duration_cycles_50hz': 250, 'duration_cycles_60hz': 300, 'functional_status': 'II'}, {'voltage_percent': 70.0, 'duration_cycles_50hz': 25, 'duration_cycles_60hz': 30, 'functional_status': 'II'}, {'voltage_percent': 40.0, 'duration_cycles_50hz': 10, 'duration_cycles_60hz': 12, 'functional_status': 'III'}, {'voltage_percent': 0.0, 'duration_cycles_50hz': 250, 'duration_cycles_60hz': 300, 'functional_status': 'III'}]</x:v>
      </x:c>
      <x:c r="C157" s="22" t="str">
        <x:v>list</x:v>
      </x:c>
      <x:c r="D157" s="22" t="str">
        <x:v>user/profile input</x:v>
      </x:c>
    </x:row>
    <x:row r="158" ht="15" hidden="0" customHeight="1">
      <x:c r="A158" s="22" t="str">
        <x:v>standard_profile.inverter.single_phase_nominal_v</x:v>
      </x:c>
      <x:c r="B158" s="22" t="n">
        <x:v>220</x:v>
      </x:c>
      <x:c r="C158" s="22" t="str">
        <x:v>float</x:v>
      </x:c>
      <x:c r="D158" s="22" t="str">
        <x:v>user/profile input</x:v>
      </x:c>
    </x:row>
    <x:row r="159" ht="15" hidden="0" customHeight="1">
      <x:c r="A159" s="22" t="str">
        <x:v>standard_profile.inverter.three_phase_line_nominal_v</x:v>
      </x:c>
      <x:c r="B159" s="22" t="n">
        <x:v>380</x:v>
      </x:c>
      <x:c r="C159" s="22" t="str">
        <x:v>float</x:v>
      </x:c>
      <x:c r="D159" s="22" t="str">
        <x:v>user/profile input</x:v>
      </x:c>
    </x:row>
    <x:row r="160" ht="15" hidden="0" customHeight="1">
      <x:c r="A160" s="22" t="str">
        <x:v>standard_profile.inverter.voltage_accuracy_percent</x:v>
      </x:c>
      <x:c r="B160" s="22" t="n">
        <x:v>5</x:v>
      </x:c>
      <x:c r="C160" s="22" t="str">
        <x:v>float</x:v>
      </x:c>
      <x:c r="D160" s="22" t="str">
        <x:v>user/profile input</x:v>
      </x:c>
    </x:row>
    <x:row r="161" ht="15" hidden="0" customHeight="1">
      <x:c r="A161" s="22" t="str">
        <x:v>standard_profile.inverter.frequency_nominal_hz</x:v>
      </x:c>
      <x:c r="B161" s="22" t="n">
        <x:v>50</x:v>
      </x:c>
      <x:c r="C161" s="22" t="str">
        <x:v>float</x:v>
      </x:c>
      <x:c r="D161" s="22" t="str">
        <x:v>user/profile input</x:v>
      </x:c>
    </x:row>
    <x:row r="162" ht="15" hidden="0" customHeight="1">
      <x:c r="A162" s="22" t="str">
        <x:v>standard_profile.inverter.frequency_tolerance_hz</x:v>
      </x:c>
      <x:c r="B162" s="22" t="n">
        <x:v>0.5</x:v>
      </x:c>
      <x:c r="C162" s="22" t="str">
        <x:v>float</x:v>
      </x:c>
      <x:c r="D162" s="22" t="str">
        <x:v>user/profile input</x:v>
      </x:c>
    </x:row>
    <x:row r="163" ht="15" hidden="0" customHeight="1">
      <x:c r="A163" s="22" t="str">
        <x:v>standard_profile.inverter.load_step_voltage_deviation_percent</x:v>
      </x:c>
      <x:c r="B163" s="22" t="n">
        <x:v>15</x:v>
      </x:c>
      <x:c r="C163" s="22" t="str">
        <x:v>float</x:v>
      </x:c>
      <x:c r="D163" s="22" t="str">
        <x:v>user/profile input</x:v>
      </x:c>
    </x:row>
    <x:row r="164" ht="15" hidden="0" customHeight="1">
      <x:c r="A164" s="22" t="str">
        <x:v>standard_profile.inverter.recovery_time_max_ms</x:v>
      </x:c>
      <x:c r="B164" s="22" t="n">
        <x:v>20</x:v>
      </x:c>
      <x:c r="C164" s="22" t="str">
        <x:v>float</x:v>
      </x:c>
      <x:c r="D164" s="22" t="str">
        <x:v>user/profile input</x:v>
      </x:c>
    </x:row>
    <x:row r="165" ht="15" hidden="0" customHeight="1">
      <x:c r="A165" s="22" t="str">
        <x:v>standard_profile.inverter.voltage_thd_resistive_percent</x:v>
      </x:c>
      <x:c r="B165" s="22" t="n">
        <x:v>5</x:v>
      </x:c>
      <x:c r="C165" s="22" t="str">
        <x:v>float</x:v>
      </x:c>
      <x:c r="D165" s="22" t="str">
        <x:v>user/profile input</x:v>
      </x:c>
    </x:row>
    <x:row r="166" ht="15" hidden="0" customHeight="1">
      <x:c r="A166" s="22" t="str">
        <x:v>standard_profile.inverter.voltage_thd_non_resistive_percent</x:v>
      </x:c>
      <x:c r="B166" s="22" t="n">
        <x:v>8</x:v>
      </x:c>
      <x:c r="C166" s="22" t="str">
        <x:v>float</x:v>
      </x:c>
      <x:c r="D166" s="22" t="str">
        <x:v>user/profile input</x:v>
      </x:c>
    </x:row>
    <x:row r="167" ht="15" hidden="0" customHeight="1">
      <x:c r="A167" s="22" t="str">
        <x:v>standard_profile.inverter.grid_current_dc_component_percent</x:v>
      </x:c>
      <x:c r="B167" s="22" t="n">
        <x:v>0.5</x:v>
      </x:c>
      <x:c r="C167" s="22" t="str">
        <x:v>float</x:v>
      </x:c>
      <x:c r="D167" s="22" t="str">
        <x:v>user/profile input</x:v>
      </x:c>
    </x:row>
    <x:row r="168" ht="15" hidden="0" customHeight="1">
      <x:c r="A168" s="22" t="str">
        <x:v>standard_profile.inverter.grid_current_dc_component_min_a</x:v>
      </x:c>
      <x:c r="B168" s="22" t="n">
        <x:v>0.005</x:v>
      </x:c>
      <x:c r="C168" s="22" t="str">
        <x:v>float</x:v>
      </x:c>
      <x:c r="D168" s="22" t="str">
        <x:v>user/profile input</x:v>
      </x:c>
    </x:row>
    <x:row r="169" ht="15" hidden="0" customHeight="1">
      <x:c r="A169" s="22" t="str">
        <x:v>standard_profile.inverter.efficiency_min</x:v>
      </x:c>
      <x:c r="B169" s="22" t="n">
        <x:v>0.92</x:v>
      </x:c>
      <x:c r="C169" s="22" t="str">
        <x:v>float</x:v>
      </x:c>
      <x:c r="D169" s="22" t="str">
        <x:v>user/profile input</x:v>
      </x:c>
    </x:row>
  </x:sheetData>
  <x:pageMargins left="0.7" right="0.7" top="0.75" bottom="0.75" header="0.3" footer="0.3"/>
  <x:tableParts count="1">
    <x:tablePart xmlns:r="http://schemas.openxmlformats.org/officeDocument/2006/relationships" r:id="R73e20459689f4f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standard_name</x:v>
      </x:c>
      <x:c r="B2" s="22" t="str">
        <x:v>Enabled standard profile</x:v>
      </x:c>
      <x:c r="C2" s="22" t="str">
        <x:v>GB/T 40432-2021</x:v>
      </x:c>
      <x:c r="D2" s="22" t="str"/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15" hidden="0" customHeight="1">
      <x:c r="A3" s="22" t="str">
        <x:v>standard_scope_phase</x:v>
      </x:c>
      <x:c r="B3" s="22" t="str">
        <x:v>Applicable phase configuration</x:v>
      </x:c>
      <x:c r="C3" s="22" t="n">
        <x:v>1</x:v>
      </x:c>
      <x:c r="D3" s="22" t="str">
        <x:v>phase</x:v>
      </x:c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26.399999618530273" hidden="0" customHeight="1">
      <x:c r="A4" s="22" t="str">
        <x:v>standard_ac_basis</x:v>
      </x:c>
      <x:c r="B4" s="22" t="str">
        <x:v>Standard AC test voltage basis</x:v>
      </x:c>
      <x:c r="C4" s="22" t="str">
        <x:v>single-phase RMS</x:v>
      </x:c>
      <x:c r="D4" s="22" t="str"/>
      <x:c r="E4" s="22" t="str"/>
      <x:c r="F4" s="22" t="str"/>
      <x:c r="G4" s="22" t="str">
        <x:v>calculated from GB/T 40432—2021 §4.2.1</x:v>
      </x:c>
      <x:c r="H4" s="22" t="str">
        <x:v>PASS</x:v>
      </x:c>
      <x:c r="I4" s="22" t="str"/>
    </x:row>
    <x:row r="5" ht="15" hidden="0" customHeight="1">
      <x:c r="A5" s="22" t="str">
        <x:v>standard_max_dc_output_v</x:v>
      </x:c>
      <x:c r="B5" s="22" t="str">
        <x:v>Standard scope maximum DC output</x:v>
      </x:c>
      <x:c r="C5" s="22" t="n">
        <x:v>1500</x:v>
      </x:c>
      <x:c r="D5" s="22" t="str">
        <x:v>V</x:v>
      </x:c>
      <x:c r="E5" s="22" t="str"/>
      <x:c r="F5" s="22" t="str"/>
      <x:c r="G5" s="22" t="str">
        <x:v>GB/T 40432—2021 §1</x:v>
      </x:c>
      <x:c r="H5" s="22" t="str">
        <x:v>PASS</x:v>
      </x:c>
      <x:c r="I5" s="22" t="str"/>
    </x:row>
    <x:row r="6" ht="15" hidden="0" customHeight="1">
      <x:c r="A6" s="22" t="str">
        <x:v>configured_vdc_max_v</x:v>
      </x:c>
      <x:c r="B6" s="22" t="str">
        <x:v>Configured maximum DC voltage</x:v>
      </x:c>
      <x:c r="C6" s="22" t="n">
        <x:v>420</x:v>
      </x:c>
      <x:c r="D6" s="22" t="str">
        <x:v>V</x:v>
      </x:c>
      <x:c r="E6" s="22" t="str"/>
      <x:c r="F6" s="22" t="str"/>
      <x:c r="G6" s="22" t="str">
        <x:v>system configuration</x:v>
      </x:c>
      <x:c r="H6" s="22" t="str">
        <x:v>PASS</x:v>
      </x:c>
      <x:c r="I6" s="22" t="str"/>
    </x:row>
    <x:row r="7" ht="15" hidden="0" customHeight="1">
      <x:c r="A7" s="22" t="str">
        <x:v>standard_ac_nominal_v</x:v>
      </x:c>
      <x:c r="B7" s="22" t="str">
        <x:v>Standard AC nominal test voltage</x:v>
      </x:c>
      <x:c r="C7" s="22" t="n">
        <x:v>220</x:v>
      </x:c>
      <x:c r="D7" s="22" t="str">
        <x:v>V RMS</x:v>
      </x:c>
      <x:c r="E7" s="22" t="str"/>
      <x:c r="F7" s="22" t="str"/>
      <x:c r="G7" s="22" t="str">
        <x:v>GB/T 40432—2021 Table 1</x:v>
      </x:c>
      <x:c r="H7" s="22" t="str">
        <x:v>PASS</x:v>
      </x:c>
      <x:c r="I7" s="22" t="str"/>
    </x:row>
    <x:row r="8" ht="15" hidden="0" customHeight="1">
      <x:c r="A8" s="22" t="str">
        <x:v>configured_ac_nominal_v</x:v>
      </x:c>
      <x:c r="B8" s="22" t="str">
        <x:v>Configured product nominal AC voltage</x:v>
      </x:c>
      <x:c r="C8" s="22" t="n">
        <x:v>230</x:v>
      </x:c>
      <x:c r="D8" s="22" t="str">
        <x:v>V RMS</x:v>
      </x:c>
      <x:c r="E8" s="22" t="str"/>
      <x:c r="F8" s="22" t="str"/>
      <x:c r="G8" s="22" t="str">
        <x:v>system configuration</x:v>
      </x:c>
      <x:c r="H8" s="22" t="str">
        <x:v>WARNING</x:v>
      </x:c>
      <x:c r="I8" s="22" t="str"/>
    </x:row>
    <x:row r="9" ht="15" hidden="0" customHeight="1">
      <x:c r="A9" s="22" t="str">
        <x:v>nominal_voltage_difference_percent</x:v>
      </x:c>
      <x:c r="B9" s="22" t="str">
        <x:v>Product/standard nominal-voltage difference</x:v>
      </x:c>
      <x:c r="C9" s="22" t="n">
        <x:v>4.545454545454546</x:v>
      </x:c>
      <x:c r="D9" s="22" t="str">
        <x:v>%</x:v>
      </x:c>
      <x:c r="E9" s="22" t="str">
        <x:v>abs(Vproduct-Vstd)/Vstd*100</x:v>
      </x:c>
      <x:c r="F9" s="22" t="str"/>
      <x:c r="G9" s="22" t="str">
        <x:v>GB/T 40432—2021</x:v>
      </x:c>
      <x:c r="H9" s="22" t="str">
        <x:v>WARNING</x:v>
      </x:c>
      <x:c r="I9" s="22" t="str"/>
    </x:row>
    <x:row r="10" ht="26.399999618530273" hidden="0" customHeight="1">
      <x:c r="A10" s="22" t="str">
        <x:v>gbt_ac_test_min_v</x:v>
      </x:c>
      <x:c r="B10" s="22" t="str">
        <x:v>GB/T AC lower test voltage</x:v>
      </x:c>
      <x:c r="C10" s="22" t="n">
        <x:v>187</x:v>
      </x:c>
      <x:c r="D10" s="22" t="str">
        <x:v>V RMS</x:v>
      </x:c>
      <x:c r="E10" s="22" t="str">
        <x:v>Vnom*(1-15%)</x:v>
      </x:c>
      <x:c r="F10" s="22" t="str"/>
      <x:c r="G10" s="22" t="str">
        <x:v>GB/T 40432—2021 §4.2.1.2/§5.3.2.1</x:v>
      </x:c>
      <x:c r="H10" s="22" t="str">
        <x:v>PASS</x:v>
      </x:c>
      <x:c r="I10" s="22" t="str"/>
    </x:row>
    <x:row r="11" ht="26.399999618530273" hidden="0" customHeight="1">
      <x:c r="A11" s="22" t="str">
        <x:v>gbt_ac_test_max_v</x:v>
      </x:c>
      <x:c r="B11" s="22" t="str">
        <x:v>GB/T AC upper test voltage</x:v>
      </x:c>
      <x:c r="C11" s="22" t="n">
        <x:v>252.99999999999997</x:v>
      </x:c>
      <x:c r="D11" s="22" t="str">
        <x:v>V RMS</x:v>
      </x:c>
      <x:c r="E11" s="22" t="str">
        <x:v>Vnom*(1+15%)</x:v>
      </x:c>
      <x:c r="F11" s="22" t="str"/>
      <x:c r="G11" s="22" t="str">
        <x:v>GB/T 40432—2021 §4.2.1.2/§5.3.2.1</x:v>
      </x:c>
      <x:c r="H11" s="22" t="str">
        <x:v>PASS</x:v>
      </x:c>
      <x:c r="I11" s="22" t="str"/>
    </x:row>
    <x:row r="12" ht="15" hidden="0" customHeight="1">
      <x:c r="A12" s="22" t="str">
        <x:v>hardware_ac_min_v</x:v>
      </x:c>
      <x:c r="B12" s="22" t="str">
        <x:v>Configured hardware minimum AC voltage</x:v>
      </x:c>
      <x:c r="C12" s="22" t="n">
        <x:v>180</x:v>
      </x:c>
      <x:c r="D12" s="22" t="str">
        <x:v>V RMS</x:v>
      </x:c>
      <x:c r="E12" s="22" t="str"/>
      <x:c r="F12" s="22" t="str"/>
      <x:c r="G12" s="22" t="str">
        <x:v>system configuration</x:v>
      </x:c>
      <x:c r="H12" s="22" t="str">
        <x:v>PASS</x:v>
      </x:c>
      <x:c r="I12" s="22" t="str"/>
    </x:row>
    <x:row r="13" ht="15" hidden="0" customHeight="1">
      <x:c r="A13" s="22" t="str">
        <x:v>hardware_ac_max_v</x:v>
      </x:c>
      <x:c r="B13" s="22" t="str">
        <x:v>Configured hardware maximum AC voltage</x:v>
      </x:c>
      <x:c r="C13" s="22" t="n">
        <x:v>265</x:v>
      </x:c>
      <x:c r="D13" s="22" t="str">
        <x:v>V RMS</x:v>
      </x:c>
      <x:c r="E13" s="22" t="str"/>
      <x:c r="F13" s="22" t="str"/>
      <x:c r="G13" s="22" t="str">
        <x:v>system configuration</x:v>
      </x:c>
      <x:c r="H13" s="22" t="str">
        <x:v>PASS</x:v>
      </x:c>
      <x:c r="I13" s="22" t="str"/>
    </x:row>
    <x:row r="14" ht="15" hidden="0" customHeight="1">
      <x:c r="A14" s="22" t="str">
        <x:v>gbt_frequency_nominal_hz</x:v>
      </x:c>
      <x:c r="B14" s="22" t="str">
        <x:v>GB/T nominal frequency</x:v>
      </x:c>
      <x:c r="C14" s="22" t="n">
        <x:v>50</x:v>
      </x:c>
      <x:c r="D14" s="22" t="str">
        <x:v>Hz</x:v>
      </x:c>
      <x:c r="E14" s="22" t="str"/>
      <x:c r="F14" s="22" t="str"/>
      <x:c r="G14" s="22" t="str">
        <x:v>GB/T 40432—2021 Table 1</x:v>
      </x:c>
      <x:c r="H14" s="22" t="str">
        <x:v>PASS</x:v>
      </x:c>
      <x:c r="I14" s="22" t="str"/>
    </x:row>
    <x:row r="15" ht="26.399999618530273" hidden="0" customHeight="1">
      <x:c r="A15" s="22" t="str">
        <x:v>gbt_frequency_min_hz</x:v>
      </x:c>
      <x:c r="B15" s="22" t="str">
        <x:v>GB/T lower frequency test</x:v>
      </x:c>
      <x:c r="C15" s="22" t="n">
        <x:v>49</x:v>
      </x:c>
      <x:c r="D15" s="22" t="str">
        <x:v>Hz</x:v>
      </x:c>
      <x:c r="E15" s="22" t="str"/>
      <x:c r="F15" s="22" t="str"/>
      <x:c r="G15" s="22" t="str">
        <x:v>GB/T 40432—2021 §4.2.1.3/§5.3.2.2</x:v>
      </x:c>
      <x:c r="H15" s="22" t="str">
        <x:v>PASS</x:v>
      </x:c>
      <x:c r="I15" s="22" t="str"/>
    </x:row>
    <x:row r="16" ht="26.399999618530273" hidden="0" customHeight="1">
      <x:c r="A16" s="22" t="str">
        <x:v>gbt_frequency_max_hz</x:v>
      </x:c>
      <x:c r="B16" s="22" t="str">
        <x:v>GB/T upper frequency test</x:v>
      </x:c>
      <x:c r="C16" s="22" t="n">
        <x:v>51</x:v>
      </x:c>
      <x:c r="D16" s="22" t="str">
        <x:v>Hz</x:v>
      </x:c>
      <x:c r="E16" s="22" t="str"/>
      <x:c r="F16" s="22" t="str"/>
      <x:c r="G16" s="22" t="str">
        <x:v>GB/T 40432—2021 §4.2.1.3/§5.3.2.2</x:v>
      </x:c>
      <x:c r="H16" s="22" t="str">
        <x:v>PASS</x:v>
      </x:c>
      <x:c r="I16" s="22" t="str"/>
    </x:row>
    <x:row r="17" ht="15" hidden="0" customHeight="1">
      <x:c r="A17" s="22" t="str">
        <x:v>configured_line_frequency_hz</x:v>
      </x:c>
      <x:c r="B17" s="22" t="str">
        <x:v>Configured line frequency</x:v>
      </x:c>
      <x:c r="C17" s="22" t="n">
        <x:v>50</x:v>
      </x:c>
      <x:c r="D17" s="22" t="str">
        <x:v>Hz</x:v>
      </x:c>
      <x:c r="E17" s="22" t="str"/>
      <x:c r="F17" s="22" t="str"/>
      <x:c r="G17" s="22" t="str">
        <x:v>control configuration</x:v>
      </x:c>
      <x:c r="H17" s="22" t="str">
        <x:v>PASS</x:v>
      </x:c>
      <x:c r="I17" s="22" t="str"/>
    </x:row>
    <x:row r="18" ht="15" hidden="0" customHeight="1">
      <x:c r="A18" s="22" t="str">
        <x:v>gbt_startup_inrush_ratio</x:v>
      </x:c>
      <x:c r="B18" s="22" t="str">
        <x:v>Maximum startup input-current peak ratio</x:v>
      </x:c>
      <x:c r="C18" s="22" t="n">
        <x:v>1.2</x:v>
      </x:c>
      <x:c r="D18" s="22" t="str">
        <x:v>pu</x:v>
      </x:c>
      <x:c r="E18" s="22" t="str"/>
      <x:c r="F18" s="22" t="str"/>
      <x:c r="G18" s="22" t="str">
        <x:v>GB/T 40432—2021 §4.2.2</x:v>
      </x:c>
      <x:c r="H18" s="22" t="str">
        <x:v>PASS</x:v>
      </x:c>
      <x:c r="I18" s="22" t="str"/>
    </x:row>
    <x:row r="19" ht="26.399999618530273" hidden="0" customHeight="1">
      <x:c r="A19" s="22" t="str">
        <x:v>gbt_required_iac_linear_peak_a</x:v>
      </x:c>
      <x:c r="B19" s="22" t="str">
        <x:v>Minimum IAC linear range for GB/T startup test</x:v>
      </x:c>
      <x:c r="C19" s="22" t="n">
        <x:v>25.061378032484406</x:v>
      </x:c>
      <x:c r="D19" s="22" t="str">
        <x:v>A peak</x:v>
      </x:c>
      <x:c r="E19" s="22" t="str">
        <x:v>Isteady_peak*1.20</x:v>
      </x:c>
      <x:c r="F19" s="22" t="str"/>
      <x:c r="G19" s="22" t="str">
        <x:v>GB/T 40432—2021</x:v>
      </x:c>
      <x:c r="H19" s="22" t="str">
        <x:v>PASS</x:v>
      </x:c>
      <x:c r="I19" s="22" t="str"/>
    </x:row>
    <x:row r="20" ht="15" hidden="0" customHeight="1">
      <x:c r="A20" s="22" t="str">
        <x:v>configured_iac_design_peak_a</x:v>
      </x:c>
      <x:c r="B20" s="22" t="str">
        <x:v>Configured IAC design peak</x:v>
      </x:c>
      <x:c r="C20" s="22" t="n">
        <x:v>27.56751583573285</x:v>
      </x:c>
      <x:c r="D20" s="22" t="str">
        <x:v>A peak</x:v>
      </x:c>
      <x:c r="E20" s="22" t="str"/>
      <x:c r="F20" s="22" t="str"/>
      <x:c r="G20" s="22" t="str">
        <x:v>system-rating calculation</x:v>
      </x:c>
      <x:c r="H20" s="22" t="str">
        <x:v>PASS</x:v>
      </x:c>
      <x:c r="I20" s="22" t="str"/>
    </x:row>
    <x:row r="21" ht="15" hidden="0" customHeight="1">
      <x:c r="A21" s="22" t="str">
        <x:v>gbt_output_voltage_error_percent</x:v>
      </x:c>
      <x:c r="B21" s="22" t="str">
        <x:v>Whole-product DC output-voltage error limit</x:v>
      </x:c>
      <x:c r="C21" s="22" t="n">
        <x:v>1</x:v>
      </x:c>
      <x:c r="D21" s="22" t="str">
        <x:v>%</x:v>
      </x:c>
      <x:c r="E21" s="22" t="str"/>
      <x:c r="F21" s="22" t="str"/>
      <x:c r="G21" s="22" t="str">
        <x:v>GB/T 40432—2021 §4.2.6</x:v>
      </x:c>
      <x:c r="H21" s="22" t="str">
        <x:v>PASS</x:v>
      </x:c>
      <x:c r="I21" s="22" t="str"/>
    </x:row>
    <x:row r="22" ht="15" hidden="0" customHeight="1">
      <x:c r="A22" s="22" t="str">
        <x:v>allocated_vdc_sensing_error_percent</x:v>
      </x:c>
      <x:c r="B22" s="22" t="str">
        <x:v>Allocated VDC sensing-chain error</x:v>
      </x:c>
      <x:c r="C22" s="22" t="n">
        <x:v>0.5</x:v>
      </x:c>
      <x:c r="D22" s="22" t="str">
        <x:v>%FS</x:v>
      </x:c>
      <x:c r="E22" s="22" t="str">
        <x:v>GBT limit*allocation fraction</x:v>
      </x:c>
      <x:c r="F22" s="22" t="str"/>
      <x:c r="G22" s="22" t="str">
        <x:v>GB/T 40432—2021</x:v>
      </x:c>
      <x:c r="H22" s="22" t="str">
        <x:v>PASS</x:v>
      </x:c>
      <x:c r="I22" s="22" t="str"/>
    </x:row>
    <x:row r="23" ht="26.399999618530273" hidden="0" customHeight="1">
      <x:c r="A23" s="22" t="str">
        <x:v>configured_vdc_sensing_target_percent</x:v>
      </x:c>
      <x:c r="B23" s="22" t="str">
        <x:v>Configured VDC sensing target</x:v>
      </x:c>
      <x:c r="C23" s="22" t="n">
        <x:v>0.5</x:v>
      </x:c>
      <x:c r="D23" s="22" t="str">
        <x:v>%FS</x:v>
      </x:c>
      <x:c r="E23" s="22" t="str"/>
      <x:c r="F23" s="22" t="str"/>
      <x:c r="G23" s="22" t="str">
        <x:v>channel configuration</x:v>
      </x:c>
      <x:c r="H23" s="22" t="str">
        <x:v>PASS</x:v>
      </x:c>
      <x:c r="I23" s="22" t="str"/>
    </x:row>
    <x:row r="24" ht="15" hidden="0" customHeight="1">
      <x:c r="A24" s="22" t="str">
        <x:v>gbt_output_current_threshold_a</x:v>
      </x:c>
      <x:c r="B24" s="22" t="str">
        <x:v>Output-current error threshold</x:v>
      </x:c>
      <x:c r="C24" s="22" t="n">
        <x:v>10</x:v>
      </x:c>
      <x:c r="D24" s="22" t="str">
        <x:v>A</x:v>
      </x:c>
      <x:c r="E24" s="22" t="str"/>
      <x:c r="F24" s="22" t="str"/>
      <x:c r="G24" s="22" t="str">
        <x:v>GB/T 40432—2021 §4.2.7</x:v>
      </x:c>
      <x:c r="H24" s="22" t="str">
        <x:v>PASS</x:v>
      </x:c>
      <x:c r="I24" s="22" t="str"/>
    </x:row>
    <x:row r="25" ht="26.399999618530273" hidden="0" customHeight="1">
      <x:c r="A25" s="22" t="str">
        <x:v>gbt_output_current_error_above_threshold_percent</x:v>
      </x:c>
      <x:c r="B25" s="22" t="str">
        <x:v>Whole-product current-error limit above threshold</x:v>
      </x:c>
      <x:c r="C25" s="22" t="n">
        <x:v>5</x:v>
      </x:c>
      <x:c r="D25" s="22" t="str">
        <x:v>%</x:v>
      </x:c>
      <x:c r="E25" s="22" t="str"/>
      <x:c r="F25" s="22" t="str"/>
      <x:c r="G25" s="22" t="str">
        <x:v>GB/T 40432—2021 §4.2.7</x:v>
      </x:c>
      <x:c r="H25" s="22" t="str">
        <x:v>PASS</x:v>
      </x:c>
      <x:c r="I25" s="22" t="str"/>
    </x:row>
    <x:row r="26" ht="26.399999618530273" hidden="0" customHeight="1">
      <x:c r="A26" s="22" t="str">
        <x:v>gbt_output_current_error_below_threshold_a</x:v>
      </x:c>
      <x:c r="B26" s="22" t="str">
        <x:v>Whole-product current deviation at/below threshold</x:v>
      </x:c>
      <x:c r="C26" s="22" t="n">
        <x:v>0.5</x:v>
      </x:c>
      <x:c r="D26" s="22" t="str">
        <x:v>A</x:v>
      </x:c>
      <x:c r="E26" s="22" t="str"/>
      <x:c r="F26" s="22" t="str"/>
      <x:c r="G26" s="22" t="str">
        <x:v>GB/T 40432—2021 §4.2.7</x:v>
      </x:c>
      <x:c r="H26" s="22" t="str">
        <x:v>PASS</x:v>
      </x:c>
      <x:c r="I26" s="22" t="str"/>
    </x:row>
    <x:row r="27" ht="15" hidden="0" customHeight="1">
      <x:c r="A27" s="22" t="str">
        <x:v>allocated_idc_sensing_error_percent</x:v>
      </x:c>
      <x:c r="B27" s="22" t="str">
        <x:v>Allocated IDC sensing error above 10 A</x:v>
      </x:c>
      <x:c r="C27" s="22" t="n">
        <x:v>2.5</x:v>
      </x:c>
      <x:c r="D27" s="22" t="str">
        <x:v>%FS</x:v>
      </x:c>
      <x:c r="E27" s="22" t="str"/>
      <x:c r="F27" s="22" t="str"/>
      <x:c r="G27" s="22" t="str">
        <x:v>GB/T 40432—2021</x:v>
      </x:c>
      <x:c r="H27" s="22" t="str">
        <x:v>PASS</x:v>
      </x:c>
      <x:c r="I27" s="22" t="str"/>
    </x:row>
    <x:row r="28" ht="15" hidden="0" customHeight="1">
      <x:c r="A28" s="22" t="str">
        <x:v>configured_idc_sensing_target_percent</x:v>
      </x:c>
      <x:c r="B28" s="22" t="str">
        <x:v>Configured IDC sensing target</x:v>
      </x:c>
      <x:c r="C28" s="22" t="n">
        <x:v>0.5</x:v>
      </x:c>
      <x:c r="D28" s="22" t="str">
        <x:v>%FS</x:v>
      </x:c>
      <x:c r="E28" s="22" t="str"/>
      <x:c r="F28" s="22" t="str"/>
      <x:c r="G28" s="22" t="str">
        <x:v>channel configuration</x:v>
      </x:c>
      <x:c r="H28" s="22" t="str">
        <x:v>PASS</x:v>
      </x:c>
      <x:c r="I28" s="22" t="str"/>
    </x:row>
    <x:row r="29" ht="39.599998474121094" hidden="0" customHeight="1">
      <x:c r="A29" s="22" t="str">
        <x:v>configured_idc_sensing_target_absolute_a</x:v>
      </x:c>
      <x:c r="B29" s="22" t="str">
        <x:v>Configured IDC target converted to design-full-scale amperes</x:v>
      </x:c>
      <x:c r="C29" s="22" t="n">
        <x:v>0.0469416785206259</x:v>
      </x:c>
      <x:c r="D29" s="22" t="str">
        <x:v>A</x:v>
      </x:c>
      <x:c r="E29" s="22" t="str">
        <x:v>IDC_design*target_%FS/100</x:v>
      </x:c>
      <x:c r="F29" s="22" t="str"/>
      <x:c r="G29" s="22" t="str">
        <x:v>GB/T 40432—2021</x:v>
      </x:c>
      <x:c r="H29" s="22" t="str">
        <x:v>PASS</x:v>
      </x:c>
      <x:c r="I29" s="22" t="str">
        <x:v>Conservative screening; %FS and low-current absolute error are not identical definitions.</x:v>
      </x:c>
    </x:row>
    <x:row r="30" ht="15" hidden="0" customHeight="1">
      <x:c r="A30" s="22" t="str">
        <x:v>allocated_idc_low_current_error_a</x:v>
      </x:c>
      <x:c r="B30" s="22" t="str">
        <x:v>Allocated IDC low-current absolute error</x:v>
      </x:c>
      <x:c r="C30" s="22" t="n">
        <x:v>0.25</x:v>
      </x:c>
      <x:c r="D30" s="22" t="str">
        <x:v>A</x:v>
      </x:c>
      <x:c r="E30" s="22" t="str"/>
      <x:c r="F30" s="22" t="str"/>
      <x:c r="G30" s="22" t="str">
        <x:v>GB/T 40432—2021</x:v>
      </x:c>
      <x:c r="H30" s="22" t="str">
        <x:v>PASS</x:v>
      </x:c>
      <x:c r="I30" s="22" t="str"/>
    </x:row>
    <x:row r="31" ht="26.399999618530273" hidden="0" customHeight="1">
      <x:c r="A31" s="22" t="str">
        <x:v>gbt_voltage_ripple_factor_percent</x:v>
      </x:c>
      <x:c r="B31" s="22" t="str">
        <x:v>Whole-product DC voltage-ripple factor limit</x:v>
      </x:c>
      <x:c r="C31" s="22" t="n">
        <x:v>5</x:v>
      </x:c>
      <x:c r="D31" s="22" t="str">
        <x:v>%</x:v>
      </x:c>
      <x:c r="E31" s="22" t="str">
        <x:v>Vpp/(2*Vdc)*100</x:v>
      </x:c>
      <x:c r="F31" s="22" t="str"/>
      <x:c r="G31" s="22" t="str">
        <x:v>GB/T 40432—2021 §4.2.8/§5.3.9</x:v>
      </x:c>
      <x:c r="H31" s="22" t="str">
        <x:v>PASS</x:v>
      </x:c>
      <x:c r="I31" s="22" t="str"/>
    </x:row>
    <x:row r="32" ht="26.399999618530273" hidden="0" customHeight="1">
      <x:c r="A32" s="22" t="str">
        <x:v>gbt_voltage_ripple_vpp_ratio</x:v>
      </x:c>
      <x:c r="B32" s="22" t="str">
        <x:v>Equivalent maximum ripple peak-to-peak ratio</x:v>
      </x:c>
      <x:c r="C32" s="22" t="n">
        <x:v>10</x:v>
      </x:c>
      <x:c r="D32" s="22" t="str">
        <x:v>% of Vdc</x:v>
      </x:c>
      <x:c r="E32" s="22" t="str">
        <x:v>Vpp/Vdc=2*Vripple_factor</x:v>
      </x:c>
      <x:c r="F32" s="22" t="str"/>
      <x:c r="G32" s="22" t="str">
        <x:v>derived from GB/T 40432—2021 §4.2.8</x:v>
      </x:c>
      <x:c r="H32" s="22" t="str">
        <x:v>PASS</x:v>
      </x:c>
      <x:c r="I32" s="22" t="str"/>
    </x:row>
    <x:row r="33" ht="26.399999618530273" hidden="0" customHeight="1">
      <x:c r="A33" s="22" t="str">
        <x:v>gbt_vdc_startup_range_factor</x:v>
      </x:c>
      <x:c r="B33" s="22" t="str">
        <x:v>Minimum VDC range factor from startup overvoltage</x:v>
      </x:c>
      <x:c r="C33" s="22" t="n">
        <x:v>1.1</x:v>
      </x:c>
      <x:c r="D33" s="22" t="str">
        <x:v>pu</x:v>
      </x:c>
      <x:c r="E33" s="22" t="str"/>
      <x:c r="F33" s="22" t="str"/>
      <x:c r="G33" s="22" t="str">
        <x:v>GB/T 40432—2021 §4.2.9.1</x:v>
      </x:c>
      <x:c r="H33" s="22" t="str">
        <x:v>PASS</x:v>
      </x:c>
      <x:c r="I33" s="22" t="str"/>
    </x:row>
    <x:row r="34" ht="15" hidden="0" customHeight="1">
      <x:c r="A34" s="22" t="str">
        <x:v>configured_vdc_range_margin</x:v>
      </x:c>
      <x:c r="B34" s="22" t="str">
        <x:v>Configured VDC range margin</x:v>
      </x:c>
      <x:c r="C34" s="22" t="n">
        <x:v>1.15</x:v>
      </x:c>
      <x:c r="D34" s="22" t="str">
        <x:v>pu</x:v>
      </x:c>
      <x:c r="E34" s="22" t="str"/>
      <x:c r="F34" s="22" t="str"/>
      <x:c r="G34" s="22" t="str">
        <x:v>channel configuration</x:v>
      </x:c>
      <x:c r="H34" s="22" t="str">
        <x:v>PASS</x:v>
      </x:c>
      <x:c r="I34" s="22" t="str"/>
    </x:row>
    <x:row r="35" ht="26.399999618530273" hidden="0" customHeight="1">
      <x:c r="A35" s="22" t="str">
        <x:v>gbt_idc_startup_range_factor</x:v>
      </x:c>
      <x:c r="B35" s="22" t="str">
        <x:v>Minimum IDC range factor from startup overcurrent</x:v>
      </x:c>
      <x:c r="C35" s="22" t="n">
        <x:v>1.05</x:v>
      </x:c>
      <x:c r="D35" s="22" t="str">
        <x:v>pu</x:v>
      </x:c>
      <x:c r="E35" s="22" t="str"/>
      <x:c r="F35" s="22" t="str"/>
      <x:c r="G35" s="22" t="str">
        <x:v>GB/T 40432—2021 §4.2.9.2</x:v>
      </x:c>
      <x:c r="H35" s="22" t="str">
        <x:v>PASS</x:v>
      </x:c>
      <x:c r="I35" s="22" t="str"/>
    </x:row>
    <x:row r="36" ht="15" hidden="0" customHeight="1">
      <x:c r="A36" s="22" t="str">
        <x:v>configured_idc_range_margin</x:v>
      </x:c>
      <x:c r="B36" s="22" t="str">
        <x:v>Configured IDC range margin</x:v>
      </x:c>
      <x:c r="C36" s="22" t="n">
        <x:v>1.2</x:v>
      </x:c>
      <x:c r="D36" s="22" t="str">
        <x:v>pu</x:v>
      </x:c>
      <x:c r="E36" s="22" t="str"/>
      <x:c r="F36" s="22" t="str"/>
      <x:c r="G36" s="22" t="str">
        <x:v>channel configuration</x:v>
      </x:c>
      <x:c r="H36" s="22" t="str">
        <x:v>PASS</x:v>
      </x:c>
      <x:c r="I36" s="22" t="str"/>
    </x:row>
    <x:row r="37" ht="15" hidden="0" customHeight="1">
      <x:c r="A37" s="22" t="str">
        <x:v>gbt_pf_rated_min</x:v>
      </x:c>
      <x:c r="B37" s="22" t="str">
        <x:v>Minimum PF at rated output</x:v>
      </x:c>
      <x:c r="C37" s="22" t="n">
        <x:v>0.98</x:v>
      </x:c>
      <x:c r="D37" s="22" t="str">
        <x:v>pu</x:v>
      </x:c>
      <x:c r="E37" s="22" t="str"/>
      <x:c r="F37" s="22" t="str"/>
      <x:c r="G37" s="22" t="str">
        <x:v>GB/T 40432—2021 Table 2</x:v>
      </x:c>
      <x:c r="H37" s="22" t="str">
        <x:v>PASS</x:v>
      </x:c>
      <x:c r="I37" s="22" t="str"/>
    </x:row>
    <x:row r="38" ht="15" hidden="0" customHeight="1">
      <x:c r="A38" s="22" t="str">
        <x:v>gbt_pf_half_load_min</x:v>
      </x:c>
      <x:c r="B38" s="22" t="str">
        <x:v>Minimum PF at 50% output</x:v>
      </x:c>
      <x:c r="C38" s="22" t="n">
        <x:v>0.95</x:v>
      </x:c>
      <x:c r="D38" s="22" t="str">
        <x:v>pu</x:v>
      </x:c>
      <x:c r="E38" s="22" t="str"/>
      <x:c r="F38" s="22" t="str"/>
      <x:c r="G38" s="22" t="str">
        <x:v>GB/T 40432—2021 Table 2</x:v>
      </x:c>
      <x:c r="H38" s="22" t="str">
        <x:v>PASS</x:v>
      </x:c>
      <x:c r="I38" s="22" t="str"/>
    </x:row>
    <x:row r="39" ht="15" hidden="0" customHeight="1">
      <x:c r="A39" s="22" t="str">
        <x:v>configured_pf_design</x:v>
      </x:c>
      <x:c r="B39" s="22" t="str">
        <x:v>Configured design PF</x:v>
      </x:c>
      <x:c r="C39" s="22" t="n">
        <x:v>0.99</x:v>
      </x:c>
      <x:c r="D39" s="22" t="str">
        <x:v>pu</x:v>
      </x:c>
      <x:c r="E39" s="22" t="str"/>
      <x:c r="F39" s="22" t="str"/>
      <x:c r="G39" s="22" t="str">
        <x:v>system configuration</x:v>
      </x:c>
      <x:c r="H39" s="22" t="str">
        <x:v>PASS</x:v>
      </x:c>
      <x:c r="I39" s="22" t="str"/>
    </x:row>
    <x:row r="40" ht="26.399999618530273" hidden="0" customHeight="1">
      <x:c r="A40" s="22" t="str">
        <x:v>estimated_rated_input_current_a</x:v>
      </x:c>
      <x:c r="B40" s="22" t="str">
        <x:v>Estimated rated per-line input current for standard branch</x:v>
      </x:c>
      <x:c r="C40" s="22" t="n">
        <x:v>12.082547967715431</x:v>
      </x:c>
      <x:c r="D40" s="22" t="str">
        <x:v>A RMS</x:v>
      </x:c>
      <x:c r="E40" s="22" t="str">
        <x:v>Prated/(Vnom*eta*PF), with phase factor</x:v>
      </x:c>
      <x:c r="F40" s="22" t="str"/>
      <x:c r="G40" s="22" t="str">
        <x:v>calculated for GB/T 40432—2021 §4.5.3.5/§4.5.3.6</x:v>
      </x:c>
      <x:c r="H40" s="22" t="str">
        <x:v>PASS</x:v>
      </x:c>
      <x:c r="I40" s="22" t="str"/>
    </x:row>
    <x:row r="41" ht="15" hidden="0" customHeight="1">
      <x:c r="A41" s="22" t="str">
        <x:v>harmonic_current_standard</x:v>
      </x:c>
      <x:c r="B41" s="22" t="str">
        <x:v>Applicable harmonic-current standard</x:v>
      </x:c>
      <x:c r="C41" s="22" t="str">
        <x:v>GB 17625.1</x:v>
      </x:c>
      <x:c r="D41" s="22" t="str"/>
      <x:c r="E41" s="22" t="str"/>
      <x:c r="F41" s="22" t="str"/>
      <x:c r="G41" s="22" t="str">
        <x:v>GB/T 40432—2021 §4.5.3.5</x:v>
      </x:c>
      <x:c r="H41" s="22" t="str">
        <x:v>PASS</x:v>
      </x:c>
      <x:c r="I41" s="22" t="str"/>
    </x:row>
    <x:row r="42" ht="26.399999618530273" hidden="0" customHeight="1">
      <x:c r="A42" s="22" t="str">
        <x:v>voltage_fluctuation_standard</x:v>
      </x:c>
      <x:c r="B42" s="22" t="str">
        <x:v>Applicable voltage-fluctuation/flicker standard</x:v>
      </x:c>
      <x:c r="C42" s="22" t="str">
        <x:v>GB/T 17625.2</x:v>
      </x:c>
      <x:c r="D42" s="22" t="str"/>
      <x:c r="E42" s="22" t="str"/>
      <x:c r="F42" s="22" t="str"/>
      <x:c r="G42" s="22" t="str">
        <x:v>GB/T 40432—2021 §4.5.3.6</x:v>
      </x:c>
      <x:c r="H42" s="22" t="str">
        <x:v>PASS</x:v>
      </x:c>
      <x:c r="I42" s="22" t="str"/>
    </x:row>
    <x:row r="43" ht="15" hidden="0" customHeight="1">
      <x:c r="A43" s="22" t="str">
        <x:v>gbt_average_efficiency_min</x:v>
      </x:c>
      <x:c r="B43" s="22" t="str">
        <x:v>E1 average charging-efficiency threshold</x:v>
      </x:c>
      <x:c r="C43" s="22" t="n">
        <x:v>0.94</x:v>
      </x:c>
      <x:c r="D43" s="22" t="str">
        <x:v>pu</x:v>
      </x:c>
      <x:c r="E43" s="22" t="str"/>
      <x:c r="F43" s="22" t="str"/>
      <x:c r="G43" s="22" t="str">
        <x:v>GB/T 40432—2021 Table 3</x:v>
      </x:c>
      <x:c r="H43" s="22" t="str">
        <x:v>PASS</x:v>
      </x:c>
      <x:c r="I43" s="22" t="str"/>
    </x:row>
    <x:row r="44" ht="39.599998474121094" hidden="0" customHeight="1">
      <x:c r="A44" s="22" t="str">
        <x:v>configured_worst_case_efficiency</x:v>
      </x:c>
      <x:c r="B44" s="22" t="str">
        <x:v>Configured minimum efficiency used for current sizing</x:v>
      </x:c>
      <x:c r="C44" s="22" t="n">
        <x:v>0.95</x:v>
      </x:c>
      <x:c r="D44" s="22" t="str">
        <x:v>pu</x:v>
      </x:c>
      <x:c r="E44" s="22" t="str"/>
      <x:c r="F44" s="22" t="str"/>
      <x:c r="G44" s="22" t="str">
        <x:v>system configuration</x:v>
      </x:c>
      <x:c r="H44" s="22" t="str">
        <x:v>PASS</x:v>
      </x:c>
      <x:c r="I44" s="22" t="str">
        <x:v>This is a sizing assumption, not the ten-point average-efficiency test result.</x:v>
      </x:c>
    </x:row>
  </x:sheetData>
  <x:conditionalFormatting sqref="H2:H44">
    <x:cfRule type="expression" dxfId="4" priority="1">
      <x:formula>H2="PASS"</x:formula>
    </x:cfRule>
    <x:cfRule type="expression" dxfId="5" priority="2">
      <x:formula>H2="WARNING"</x:formula>
    </x:cfRule>
    <x:cfRule type="expression" dxfId="6" priority="3">
      <x:formula>H2="FAIL"</x:formula>
    </x:cfRule>
    <x:cfRule type="expression" dxfId="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223c00cc6544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26.399999618530273" hidden="0" customHeight="1">
      <x:c r="A2" s="22" t="str">
        <x:v>ac_voltage_low_test</x:v>
      </x:c>
      <x:c r="B2" s="22" t="str">
        <x:v>AC lower-voltage operating test</x:v>
      </x:c>
      <x:c r="C2" s="22" t="str">
        <x:v>187.000 V RMS, &gt;=60 s</x:v>
      </x:c>
      <x:c r="D2" s="22" t="str"/>
      <x:c r="E2" s="22" t="str"/>
      <x:c r="F2" s="22" t="str"/>
      <x:c r="G2" s="22" t="str">
        <x:v>GB/T 40432—2021 §5.3.2.1</x:v>
      </x:c>
      <x:c r="H2" s="22" t="str">
        <x:v>PASS</x:v>
      </x:c>
      <x:c r="I2" s="22" t="str"/>
    </x:row>
    <x:row r="3" ht="26.399999618530273" hidden="0" customHeight="1">
      <x:c r="A3" s="22" t="str">
        <x:v>ac_voltage_high_test</x:v>
      </x:c>
      <x:c r="B3" s="22" t="str">
        <x:v>AC upper-voltage operating test</x:v>
      </x:c>
      <x:c r="C3" s="22" t="str">
        <x:v>253.000 V RMS, &gt;=60 s</x:v>
      </x:c>
      <x:c r="D3" s="22" t="str"/>
      <x:c r="E3" s="22" t="str"/>
      <x:c r="F3" s="22" t="str"/>
      <x:c r="G3" s="22" t="str">
        <x:v>GB/T 40432—2021 §5.3.2.1</x:v>
      </x:c>
      <x:c r="H3" s="22" t="str">
        <x:v>PASS</x:v>
      </x:c>
      <x:c r="I3" s="22" t="str"/>
    </x:row>
    <x:row r="4" ht="15" hidden="0" customHeight="1">
      <x:c r="A4" s="22" t="str">
        <x:v>frequency_low_test</x:v>
      </x:c>
      <x:c r="B4" s="22" t="str">
        <x:v>Lower-frequency operating test</x:v>
      </x:c>
      <x:c r="C4" s="22" t="str">
        <x:v>49.0 Hz, 60 s</x:v>
      </x:c>
      <x:c r="D4" s="22" t="str"/>
      <x:c r="E4" s="22" t="str"/>
      <x:c r="F4" s="22" t="str"/>
      <x:c r="G4" s="22" t="str">
        <x:v>GB/T 40432—2021 §5.3.2.2</x:v>
      </x:c>
      <x:c r="H4" s="22" t="str">
        <x:v>PASS</x:v>
      </x:c>
      <x:c r="I4" s="22" t="str"/>
    </x:row>
    <x:row r="5" ht="15" hidden="0" customHeight="1">
      <x:c r="A5" s="22" t="str">
        <x:v>frequency_high_test</x:v>
      </x:c>
      <x:c r="B5" s="22" t="str">
        <x:v>Upper-frequency operating test</x:v>
      </x:c>
      <x:c r="C5" s="22" t="str">
        <x:v>51.0 Hz, 60 s</x:v>
      </x:c>
      <x:c r="D5" s="22" t="str"/>
      <x:c r="E5" s="22" t="str"/>
      <x:c r="F5" s="22" t="str"/>
      <x:c r="G5" s="22" t="str">
        <x:v>GB/T 40432—2021 §5.3.2.2</x:v>
      </x:c>
      <x:c r="H5" s="22" t="str">
        <x:v>PASS</x:v>
      </x:c>
      <x:c r="I5" s="22" t="str"/>
    </x:row>
    <x:row r="6" ht="39.599998474121094" hidden="0" customHeight="1">
      <x:c r="A6" s="22" t="str">
        <x:v>startup_inrush_test</x:v>
      </x:c>
      <x:c r="B6" s="22" t="str">
        <x:v>Startup input-current test</x:v>
      </x:c>
      <x:c r="C6" s="22" t="str">
        <x:v>3 starts; &gt;=2 min interval; compare startup/stable peaks</x:v>
      </x:c>
      <x:c r="D6" s="22" t="str"/>
      <x:c r="E6" s="22" t="str"/>
      <x:c r="F6" s="22" t="str"/>
      <x:c r="G6" s="22" t="str">
        <x:v>GB/T 40432—2021 §5.3.3</x:v>
      </x:c>
      <x:c r="H6" s="22" t="str">
        <x:v>PASS</x:v>
      </x:c>
      <x:c r="I6" s="22" t="str">
        <x:v>Microsecond EMI inrush is excluded by the standard.</x:v>
      </x:c>
    </x:row>
    <x:row r="7" ht="26.399999618530273" hidden="0" customHeight="1">
      <x:c r="A7" s="22" t="str">
        <x:v>voltage_error_load_points</x:v>
      </x:c>
      <x:c r="B7" s="22" t="str">
        <x:v>DC voltage-error load points</x:v>
      </x:c>
      <x:c r="C7" s="22" t="str">
        <x:v>10%, 50%, 100% rated load</x:v>
      </x:c>
      <x:c r="D7" s="22" t="str"/>
      <x:c r="E7" s="22" t="str"/>
      <x:c r="F7" s="22" t="str"/>
      <x:c r="G7" s="22" t="str">
        <x:v>GB/T 40432—2021 §5.3.7</x:v>
      </x:c>
      <x:c r="H7" s="22" t="str">
        <x:v>PASS</x:v>
      </x:c>
      <x:c r="I7" s="22" t="str"/>
    </x:row>
    <x:row r="8" ht="39.599998474121094" hidden="0" customHeight="1">
      <x:c r="A8" s="22" t="str">
        <x:v>current_error_voltage_points</x:v>
      </x:c>
      <x:c r="B8" s="22" t="str">
        <x:v>DC current-error voltage points</x:v>
      </x:c>
      <x:c r="C8" s="22" t="str">
        <x:v>output-voltage lower limit, rated value, upper limit</x:v>
      </x:c>
      <x:c r="D8" s="22" t="str"/>
      <x:c r="E8" s="22" t="str"/>
      <x:c r="F8" s="22" t="str"/>
      <x:c r="G8" s="22" t="str">
        <x:v>GB/T 40432—2021 §5.3.8</x:v>
      </x:c>
      <x:c r="H8" s="22" t="str">
        <x:v>PASS</x:v>
      </x:c>
      <x:c r="I8" s="22" t="str"/>
    </x:row>
    <x:row r="9" ht="26.399999618530273" hidden="0" customHeight="1">
      <x:c r="A9" s="22" t="str">
        <x:v>ripple_load_points</x:v>
      </x:c>
      <x:c r="B9" s="22" t="str">
        <x:v>DC voltage-ripple load points</x:v>
      </x:c>
      <x:c r="C9" s="22" t="str">
        <x:v>50%, 100% rated output current</x:v>
      </x:c>
      <x:c r="D9" s="22" t="str"/>
      <x:c r="E9" s="22" t="str"/>
      <x:c r="F9" s="22" t="str"/>
      <x:c r="G9" s="22" t="str">
        <x:v>GB/T 40432—2021 §5.3.9</x:v>
      </x:c>
      <x:c r="H9" s="22" t="str">
        <x:v>PASS</x:v>
      </x:c>
      <x:c r="I9" s="22" t="str"/>
    </x:row>
    <x:row r="10" ht="39.599998474121094" hidden="0" customHeight="1">
      <x:c r="A10" s="22" t="str">
        <x:v>ripple_scope_setting</x:v>
      </x:c>
      <x:c r="B10" s="22" t="str">
        <x:v>External ripple-test oscilloscope</x:v>
      </x:c>
      <x:c r="C10" s="22" t="str">
        <x:v>AC coupling; 20 MHz bandwidth; &gt;=0.5 s/div</x:v>
      </x:c>
      <x:c r="D10" s="22" t="str"/>
      <x:c r="E10" s="22" t="str"/>
      <x:c r="F10" s="22" t="str"/>
      <x:c r="G10" s="22" t="str">
        <x:v>GB/T 40432—2021 §5.3.9</x:v>
      </x:c>
      <x:c r="H10" s="22" t="str">
        <x:v>PASS</x:v>
      </x:c>
      <x:c r="I10" s="22" t="str">
        <x:v>This is not the MCU ADC bandwidth requirement.</x:v>
      </x:c>
    </x:row>
    <x:row r="11" ht="15" hidden="0" customHeight="1">
      <x:c r="A11" s="22" t="str">
        <x:v>efficiency_warmup</x:v>
      </x:c>
      <x:c r="B11" s="22" t="str">
        <x:v>Efficiency-test warm-up</x:v>
      </x:c>
      <x:c r="C11" s="22" t="str">
        <x:v>30 min at rated state</x:v>
      </x:c>
      <x:c r="D11" s="22" t="str"/>
      <x:c r="E11" s="22" t="str"/>
      <x:c r="F11" s="22" t="str"/>
      <x:c r="G11" s="22" t="str">
        <x:v>GB/T 40432—2021 §5.3.13</x:v>
      </x:c>
      <x:c r="H11" s="22" t="str">
        <x:v>PASS</x:v>
      </x:c>
      <x:c r="I11" s="22" t="str"/>
    </x:row>
    <x:row r="12" ht="52.79999923706055" hidden="0" customHeight="1">
      <x:c r="A12" s="22" t="str">
        <x:v>efficiency_voltage_points</x:v>
      </x:c>
      <x:c r="B12" s="22" t="str">
        <x:v>Efficiency-test output-voltage points</x:v>
      </x:c>
      <x:c r="C12" s="22" t="str">
        <x:v>10 evenly spaced values across product output range</x:v>
      </x:c>
      <x:c r="D12" s="22" t="str"/>
      <x:c r="E12" s="22" t="str"/>
      <x:c r="F12" s="22" t="str"/>
      <x:c r="G12" s="22" t="str">
        <x:v>GB/T 40432—2021 §5.3.13</x:v>
      </x:c>
      <x:c r="H12" s="22" t="str">
        <x:v>PASS</x:v>
      </x:c>
      <x:c r="I12" s="22" t="str"/>
    </x:row>
    <x:row r="13" ht="39.599998474121094" hidden="0" customHeight="1">
      <x:c r="A13" s="22" t="str">
        <x:v>ac_protection_thresholds</x:v>
      </x:c>
      <x:c r="B13" s="22" t="str">
        <x:v>AC over/undervoltage protection thresholds</x:v>
      </x:c>
      <x:c r="C13" s="22" t="str">
        <x:v>product technical document-defined</x:v>
      </x:c>
      <x:c r="D13" s="22" t="str"/>
      <x:c r="E13" s="22" t="str"/>
      <x:c r="F13" s="22" t="str"/>
      <x:c r="G13" s="22" t="str">
        <x:v>GB/T 40432—2021 §4.3.1/§5.4.1</x:v>
      </x:c>
      <x:c r="H13" s="22" t="str">
        <x:v>PASS</x:v>
      </x:c>
      <x:c r="I13" s="22" t="str">
        <x:v>The national standard does not provide one universal threshold value.</x:v>
      </x:c>
    </x:row>
    <x:row r="14" ht="39.599998474121094" hidden="0" customHeight="1">
      <x:c r="A14" s="22" t="str">
        <x:v>dc_protection_thresholds</x:v>
      </x:c>
      <x:c r="B14" s="22" t="str">
        <x:v>DC over/undervoltage protection thresholds</x:v>
      </x:c>
      <x:c r="C14" s="22" t="str">
        <x:v>product technical document-defined</x:v>
      </x:c>
      <x:c r="D14" s="22" t="str"/>
      <x:c r="E14" s="22" t="str"/>
      <x:c r="F14" s="22" t="str"/>
      <x:c r="G14" s="22" t="str">
        <x:v>GB/T 40432—2021 §4.3.3/§5.4.3</x:v>
      </x:c>
      <x:c r="H14" s="22" t="str">
        <x:v>PASS</x:v>
      </x:c>
      <x:c r="I14" s="22" t="str">
        <x:v>Do not replace product protection calibration with the ±15% normal-input test range.</x:v>
      </x:c>
    </x:row>
    <x:row r="15" ht="26.399999618530273" hidden="0" customHeight="1">
      <x:c r="A15" s="22" t="str">
        <x:v>voltage_dip_1</x:v>
      </x:c>
      <x:c r="B15" s="22" t="str">
        <x:v>Voltage dip/interruption: 80%</x:v>
      </x:c>
      <x:c r="C15" s="22" t="str">
        <x:v>250 cycles / 5 s at 50 Hz; state II</x:v>
      </x:c>
      <x:c r="D15" s="22" t="str"/>
      <x:c r="E15" s="22" t="str"/>
      <x:c r="F15" s="22" t="str"/>
      <x:c r="G15" s="22" t="str">
        <x:v>GB/T 40432—2021 Table 7</x:v>
      </x:c>
      <x:c r="H15" s="22" t="str">
        <x:v>PASS</x:v>
      </x:c>
      <x:c r="I15" s="22" t="str"/>
    </x:row>
    <x:row r="16" ht="26.399999618530273" hidden="0" customHeight="1">
      <x:c r="A16" s="22" t="str">
        <x:v>voltage_dip_2</x:v>
      </x:c>
      <x:c r="B16" s="22" t="str">
        <x:v>Voltage dip/interruption: 70%</x:v>
      </x:c>
      <x:c r="C16" s="22" t="str">
        <x:v>25 cycles / 0.5 s at 50 Hz; state II</x:v>
      </x:c>
      <x:c r="D16" s="22" t="str"/>
      <x:c r="E16" s="22" t="str"/>
      <x:c r="F16" s="22" t="str"/>
      <x:c r="G16" s="22" t="str">
        <x:v>GB/T 40432—2021 Table 7</x:v>
      </x:c>
      <x:c r="H16" s="22" t="str">
        <x:v>PASS</x:v>
      </x:c>
      <x:c r="I16" s="22" t="str"/>
    </x:row>
    <x:row r="17" ht="26.399999618530273" hidden="0" customHeight="1">
      <x:c r="A17" s="22" t="str">
        <x:v>voltage_dip_3</x:v>
      </x:c>
      <x:c r="B17" s="22" t="str">
        <x:v>Voltage dip/interruption: 40%</x:v>
      </x:c>
      <x:c r="C17" s="22" t="str">
        <x:v>10 cycles / 0.2 s at 50 Hz; state III</x:v>
      </x:c>
      <x:c r="D17" s="22" t="str"/>
      <x:c r="E17" s="22" t="str"/>
      <x:c r="F17" s="22" t="str"/>
      <x:c r="G17" s="22" t="str">
        <x:v>GB/T 40432—2021 Table 7</x:v>
      </x:c>
      <x:c r="H17" s="22" t="str">
        <x:v>PASS</x:v>
      </x:c>
      <x:c r="I17" s="22" t="str"/>
    </x:row>
    <x:row r="18" ht="26.399999618530273" hidden="0" customHeight="1">
      <x:c r="A18" s="22" t="str">
        <x:v>voltage_dip_4</x:v>
      </x:c>
      <x:c r="B18" s="22" t="str">
        <x:v>Voltage dip/interruption: 0%</x:v>
      </x:c>
      <x:c r="C18" s="22" t="str">
        <x:v>250 cycles / 5 s at 50 Hz; state III</x:v>
      </x:c>
      <x:c r="D18" s="22" t="str"/>
      <x:c r="E18" s="22" t="str"/>
      <x:c r="F18" s="22" t="str"/>
      <x:c r="G18" s="22" t="str">
        <x:v>GB/T 40432—2021 Table 7</x:v>
      </x:c>
      <x:c r="H18" s="22" t="str">
        <x:v>PASS</x:v>
      </x:c>
      <x:c r="I18" s="22" t="str"/>
    </x:row>
  </x:sheetData>
  <x:conditionalFormatting sqref="H2:H18">
    <x:cfRule type="expression" dxfId="8" priority="1">
      <x:formula>H2="PASS"</x:formula>
    </x:cfRule>
    <x:cfRule type="expression" dxfId="9" priority="2">
      <x:formula>H2="WARNING"</x:formula>
    </x:cfRule>
    <x:cfRule type="expression" dxfId="10" priority="3">
      <x:formula>H2="FAIL"</x:formula>
    </x:cfRule>
    <x:cfRule type="expression" dxfId="1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f614f02b304d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66" hidden="0" customHeight="1">
      <x:c r="A2" s="22" t="str">
        <x:v>vac_nominal_handling</x:v>
      </x:c>
      <x:c r="B2" s="22" t="str">
        <x:v>AC nominal-voltage parameter</x:v>
      </x:c>
      <x:c r="C2" s="22" t="str">
        <x:v>Add compliance test nominal; do not overwrite hardware/product rating</x:v>
      </x:c>
      <x:c r="D2" s="22" t="str"/>
      <x:c r="E2" s="22" t="str"/>
      <x:c r="F2" s="22" t="str"/>
      <x:c r="G2" s="22" t="str">
        <x:v>engineering allocation from GB/T 40432—2021</x:v>
      </x:c>
      <x:c r="H2" s="22" t="str">
        <x:v>PASS</x:v>
      </x:c>
      <x:c r="I2" s="22" t="str">
        <x:v>GB/T nominal=220.000 V RMS; test range=187.000–253.000 V RMS.</x:v>
      </x:c>
    </x:row>
    <x:row r="3" ht="52.79999923706055" hidden="0" customHeight="1">
      <x:c r="A3" s="22" t="str">
        <x:v>vac_range_handling</x:v>
      </x:c>
      <x:c r="B3" s="22" t="str">
        <x:v>AC min/max voltage parameters</x:v>
      </x:c>
      <x:c r="C3" s="22" t="str">
        <x:v>Keep wider hardware range; add separate GB/T test range</x:v>
      </x:c>
      <x:c r="D3" s="22" t="str"/>
      <x:c r="E3" s="22" t="str"/>
      <x:c r="F3" s="22" t="str"/>
      <x:c r="G3" s="22" t="str">
        <x:v>engineering allocation</x:v>
      </x:c>
      <x:c r="H3" s="22" t="str">
        <x:v>PASS</x:v>
      </x:c>
      <x:c r="I3" s="22" t="str"/>
    </x:row>
    <x:row r="4" ht="52.79999923706055" hidden="0" customHeight="1">
      <x:c r="A4" s="22" t="str">
        <x:v>pf_handling</x:v>
      </x:c>
      <x:c r="B4" s="22" t="str">
        <x:v>Power-factor parameter</x:v>
      </x:c>
      <x:c r="C4" s="22" t="str">
        <x:v>Keep product target; add 0.98 rated and 0.95 half-load compliance limits</x:v>
      </x:c>
      <x:c r="D4" s="22" t="str"/>
      <x:c r="E4" s="22" t="str"/>
      <x:c r="F4" s="22" t="str"/>
      <x:c r="G4" s="22" t="str">
        <x:v>GB/T 40432—2021 Table 2</x:v>
      </x:c>
      <x:c r="H4" s="22" t="str">
        <x:v>PASS</x:v>
      </x:c>
      <x:c r="I4" s="22" t="str"/>
    </x:row>
    <x:row r="5" ht="66" hidden="0" customHeight="1">
      <x:c r="A5" s="22" t="str">
        <x:v>efficiency_handling</x:v>
      </x:c>
      <x:c r="B5" s="22" t="str">
        <x:v>Efficiency parameter</x:v>
      </x:c>
      <x:c r="C5" s="22" t="str">
        <x:v>Keep worst-case sizing efficiency; add E1 average-efficiency threshold 0.94</x:v>
      </x:c>
      <x:c r="D5" s="22" t="str"/>
      <x:c r="E5" s="22" t="str"/>
      <x:c r="F5" s="22" t="str"/>
      <x:c r="G5" s="22" t="str">
        <x:v>GB/T 40432—2021 Table 3</x:v>
      </x:c>
      <x:c r="H5" s="22" t="str">
        <x:v>PASS</x:v>
      </x:c>
      <x:c r="I5" s="22" t="str"/>
    </x:row>
    <x:row r="6" ht="66" hidden="0" customHeight="1">
      <x:c r="A6" s="22" t="str">
        <x:v>vdc_accuracy_handling</x:v>
      </x:c>
      <x:c r="B6" s="22" t="str">
        <x:v>VDC accuracy target</x:v>
      </x:c>
      <x:c r="C6" s="22" t="str">
        <x:v>Keep sensing-chain target &lt;=0.5%FS; standard whole-product limit is ±1%</x:v>
      </x:c>
      <x:c r="D6" s="22" t="str"/>
      <x:c r="E6" s="22" t="str"/>
      <x:c r="F6" s="22" t="str"/>
      <x:c r="G6" s="22" t="str">
        <x:v>GB/T 40432—2021 §4.2.6</x:v>
      </x:c>
      <x:c r="H6" s="22" t="str">
        <x:v>PASS</x:v>
      </x:c>
      <x:c r="I6" s="22" t="str"/>
    </x:row>
    <x:row r="7" ht="66" hidden="0" customHeight="1">
      <x:c r="A7" s="22" t="str">
        <x:v>idc_accuracy_handling</x:v>
      </x:c>
      <x:c r="B7" s="22" t="str">
        <x:v>IDC accuracy target</x:v>
      </x:c>
      <x:c r="C7" s="22" t="str">
        <x:v>Keep sensing-chain target &lt;=0.5%FS; add whole-product piecewise 5% / 0.5 A limits</x:v>
      </x:c>
      <x:c r="D7" s="22" t="str"/>
      <x:c r="E7" s="22" t="str"/>
      <x:c r="F7" s="22" t="str"/>
      <x:c r="G7" s="22" t="str">
        <x:v>GB/T 40432—2021 §4.2.7</x:v>
      </x:c>
      <x:c r="H7" s="22" t="str">
        <x:v>PASS</x:v>
      </x:c>
      <x:c r="I7" s="22" t="str"/>
    </x:row>
    <x:row r="8" ht="66" hidden="0" customHeight="1">
      <x:c r="A8" s="22" t="str">
        <x:v>ripple_handling</x:v>
      </x:c>
      <x:c r="B8" s="22" t="str">
        <x:v>VDC ripple parameter</x:v>
      </x:c>
      <x:c r="C8" s="22" t="str">
        <x:v>Add 5% whole-product ripple test; do not replace ADC/RC bandwidth</x:v>
      </x:c>
      <x:c r="D8" s="22" t="str"/>
      <x:c r="E8" s="22" t="str"/>
      <x:c r="F8" s="22" t="str"/>
      <x:c r="G8" s="22" t="str">
        <x:v>GB/T 40432—2021 §4.2.8/§5.3.9</x:v>
      </x:c>
      <x:c r="H8" s="22" t="str">
        <x:v>PASS</x:v>
      </x:c>
      <x:c r="I8" s="22" t="str"/>
    </x:row>
    <x:row r="9" ht="66" hidden="0" customHeight="1">
      <x:c r="A9" s="22" t="str">
        <x:v>scope_bandwidth_handling</x:v>
      </x:c>
      <x:c r="B9" s="22" t="str">
        <x:v>20 MHz oscilloscope bandwidth</x:v>
      </x:c>
      <x:c r="C9" s="22" t="str">
        <x:v>External test-equipment setting only; do not map to F29H85x ADC bandwidth</x:v>
      </x:c>
      <x:c r="D9" s="22" t="str"/>
      <x:c r="E9" s="22" t="str"/>
      <x:c r="F9" s="22" t="str"/>
      <x:c r="G9" s="22" t="str">
        <x:v>GB/T 40432—2021 §5.3.9</x:v>
      </x:c>
      <x:c r="H9" s="22" t="str">
        <x:v>PASS</x:v>
      </x:c>
      <x:c r="I9" s="22" t="str"/>
    </x:row>
    <x:row r="10" ht="66" hidden="0" customHeight="1">
      <x:c r="A10" s="22" t="str">
        <x:v>inrush_handling</x:v>
      </x:c>
      <x:c r="B10" s="22" t="str">
        <x:v>Startup current ratio</x:v>
      </x:c>
      <x:c r="C10" s="22" t="str">
        <x:v>Use 1.20 pu as a compliance range floor; retain larger overload/fault margin</x:v>
      </x:c>
      <x:c r="D10" s="22" t="str"/>
      <x:c r="E10" s="22" t="str"/>
      <x:c r="F10" s="22" t="str"/>
      <x:c r="G10" s="22" t="str">
        <x:v>GB/T 40432—2021 §4.2.2</x:v>
      </x:c>
      <x:c r="H10" s="22" t="str">
        <x:v>PASS</x:v>
      </x:c>
      <x:c r="I10" s="22" t="str"/>
    </x:row>
    <x:row r="11" ht="52.79999923706055" hidden="0" customHeight="1">
      <x:c r="A11" s="22" t="str">
        <x:v>phase_deviation_handling</x:v>
      </x:c>
      <x:c r="B11" s="22" t="str">
        <x:v>Three-phase ±3° requirement</x:v>
      </x:c>
      <x:c r="C11" s="22" t="str">
        <x:v>Add as grid test case; do not replace ADC inter-channel skew target</x:v>
      </x:c>
      <x:c r="D11" s="22" t="str"/>
      <x:c r="E11" s="22" t="str"/>
      <x:c r="F11" s="22" t="str"/>
      <x:c r="G11" s="22" t="str">
        <x:v>GB/T 40432—2021 §4.2.1.4</x:v>
      </x:c>
      <x:c r="H11" s="22" t="str">
        <x:v>PASS</x:v>
      </x:c>
      <x:c r="I11" s="22" t="str"/>
    </x:row>
    <x:row r="12" ht="79.19999694824219" hidden="0" customHeight="1">
      <x:c r="A12" s="22" t="str">
        <x:v>temperature_handling</x:v>
      </x:c>
      <x:c r="B12" s="22" t="str">
        <x:v>Temperature parameters</x:v>
      </x:c>
      <x:c r="C12" s="22" t="str">
        <x:v>Separate vehicle ambient/storage tests from component -40…125 °C error-budget range</x:v>
      </x:c>
      <x:c r="D12" s="22" t="str"/>
      <x:c r="E12" s="22" t="str"/>
      <x:c r="F12" s="22" t="str"/>
      <x:c r="G12" s="22" t="str">
        <x:v>GB/T 40432—2021 Table 8</x:v>
      </x:c>
      <x:c r="H12" s="22" t="str">
        <x:v>PASS</x:v>
      </x:c>
      <x:c r="I12" s="22" t="str"/>
    </x:row>
    <x:row r="13" ht="79.19999694824219" hidden="0" customHeight="1">
      <x:c r="A13" s="22" t="str">
        <x:v>emc_handling</x:v>
      </x:c>
      <x:c r="B13" s="22" t="str">
        <x:v>Surge/ESD/EFT requirements</x:v>
      </x:c>
      <x:c r="C13" s="22" t="str">
        <x:v>Add transient withstand requirements; do not enlarge linear sensing range to kV values</x:v>
      </x:c>
      <x:c r="D13" s="22" t="str"/>
      <x:c r="E13" s="22" t="str"/>
      <x:c r="F13" s="22" t="str"/>
      <x:c r="G13" s="22" t="str">
        <x:v>GB/T 40432—2021 §4.5.2</x:v>
      </x:c>
      <x:c r="H13" s="22" t="str">
        <x:v>PASS</x:v>
      </x:c>
      <x:c r="I13" s="22" t="str"/>
    </x:row>
  </x:sheetData>
  <x:conditionalFormatting sqref="H2:H13">
    <x:cfRule type="expression" dxfId="12" priority="1">
      <x:formula>H2="PASS"</x:formula>
    </x:cfRule>
    <x:cfRule type="expression" dxfId="13" priority="2">
      <x:formula>H2="WARNING"</x:formula>
    </x:cfRule>
    <x:cfRule type="expression" dxfId="14" priority="3">
      <x:formula>H2="FAIL"</x:formula>
    </x:cfRule>
    <x:cfRule type="expression" dxfId="1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457a4033e341c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sensor_validation_error_level_percent</x:v>
      </x:c>
      <x:c r="B2" s="22" t="str">
        <x:v>Smallest configured sensing-error target</x:v>
      </x:c>
      <x:c r="C2" s="22" t="n">
        <x:v>0.5</x:v>
      </x:c>
      <x:c r="D2" s="22" t="str">
        <x:v>%</x:v>
      </x:c>
      <x:c r="E2" s="22" t="str"/>
      <x:c r="F2" s="22" t="str"/>
      <x:c r="G2" s="22" t="str">
        <x:v>channel configurations</x:v>
      </x:c>
      <x:c r="H2" s="22" t="str">
        <x:v>PASS</x:v>
      </x:c>
      <x:c r="I2" s="22" t="str"/>
    </x:row>
    <x:row r="3" ht="26.399999618530273" hidden="0" customHeight="1">
      <x:c r="A3" s="22" t="str">
        <x:v>sensor_validation_instrument_class</x:v>
      </x:c>
      <x:c r="B3" s="22" t="str">
        <x:v>Reference instrument for &lt;=0.5% sensing validation</x:v>
      </x:c>
      <x:c r="C3" s="22" t="str">
        <x:v>0.1 class</x:v>
      </x:c>
      <x:c r="D3" s="22" t="str"/>
      <x:c r="E3" s="22" t="str"/>
      <x:c r="F3" s="22" t="str"/>
      <x:c r="G3" s="22" t="str">
        <x:v>GB/T 40432—2021 Table 9</x:v>
      </x:c>
      <x:c r="H3" s="22" t="str">
        <x:v>PASS</x:v>
      </x:c>
      <x:c r="I3" s="22" t="str">
        <x:v>Recommended digital resolution: 6.5 digit.</x:v>
      </x:c>
    </x:row>
    <x:row r="4" ht="15" hidden="0" customHeight="1">
      <x:c r="A4" s="22" t="str">
        <x:v>voltage_error_test_instrument_class</x:v>
      </x:c>
      <x:c r="B4" s="22" t="str">
        <x:v>Instrument for 1% output-voltage error test</x:v>
      </x:c>
      <x:c r="C4" s="22" t="str">
        <x:v>0.2 class</x:v>
      </x:c>
      <x:c r="D4" s="22" t="str"/>
      <x:c r="E4" s="22" t="str"/>
      <x:c r="F4" s="22" t="str"/>
      <x:c r="G4" s="22" t="str">
        <x:v>GB/T 40432—2021 Table 9</x:v>
      </x:c>
      <x:c r="H4" s="22" t="str">
        <x:v>PASS</x:v>
      </x:c>
      <x:c r="I4" s="22" t="str">
        <x:v>Digital resolution: 5.5 digit.</x:v>
      </x:c>
    </x:row>
    <x:row r="5" ht="15" hidden="0" customHeight="1">
      <x:c r="A5" s="22" t="str">
        <x:v>current_error_test_instrument_class</x:v>
      </x:c>
      <x:c r="B5" s="22" t="str">
        <x:v>Instrument for 5% output-current error test</x:v>
      </x:c>
      <x:c r="C5" s="22" t="str">
        <x:v>0.5 class</x:v>
      </x:c>
      <x:c r="D5" s="22" t="str"/>
      <x:c r="E5" s="22" t="str"/>
      <x:c r="F5" s="22" t="str"/>
      <x:c r="G5" s="22" t="str">
        <x:v>GB/T 40432—2021 Table 9</x:v>
      </x:c>
      <x:c r="H5" s="22" t="str">
        <x:v>PASS</x:v>
      </x:c>
      <x:c r="I5" s="22" t="str">
        <x:v>Digital resolution: 4.5 digit.</x:v>
      </x:c>
    </x:row>
    <x:row r="6" ht="15" hidden="0" customHeight="1">
      <x:c r="A6" s="22" t="str">
        <x:v>temperature_instrument_error_c</x:v>
      </x:c>
      <x:c r="B6" s="22" t="str">
        <x:v>Temperature-measurement instrument error</x:v>
      </x:c>
      <x:c r="C6" s="22" t="n">
        <x:v>1</x:v>
      </x:c>
      <x:c r="D6" s="22" t="str">
        <x:v>±°C</x:v>
      </x:c>
      <x:c r="E6" s="22" t="str"/>
      <x:c r="F6" s="22" t="str"/>
      <x:c r="G6" s="22" t="str">
        <x:v>GB/T 40432—2021 §5.1.2</x:v>
      </x:c>
      <x:c r="H6" s="22" t="str">
        <x:v>PASS</x:v>
      </x:c>
      <x:c r="I6" s="22" t="str"/>
    </x:row>
    <x:row r="7" ht="26.399999618530273" hidden="0" customHeight="1">
      <x:c r="A7" s="22" t="str">
        <x:v>time_instrument_relative_error_percent</x:v>
      </x:c>
      <x:c r="B7" s="22" t="str">
        <x:v>Time-measurement relative error</x:v>
      </x:c>
      <x:c r="C7" s="22" t="n">
        <x:v>1</x:v>
      </x:c>
      <x:c r="D7" s="22" t="str">
        <x:v>%</x:v>
      </x:c>
      <x:c r="E7" s="22" t="str"/>
      <x:c r="F7" s="22" t="str"/>
      <x:c r="G7" s="22" t="str">
        <x:v>GB/T 40432—2021 §5.1.2</x:v>
      </x:c>
      <x:c r="H7" s="22" t="str">
        <x:v>PASS</x:v>
      </x:c>
      <x:c r="I7" s="22" t="str"/>
    </x:row>
    <x:row r="8" ht="15" hidden="0" customHeight="1">
      <x:c r="A8" s="22" t="str">
        <x:v>chamber_temperature_control_error_c</x:v>
      </x:c>
      <x:c r="B8" s="22" t="str">
        <x:v>Environmental-chamber temperature control</x:v>
      </x:c>
      <x:c r="C8" s="22" t="n">
        <x:v>2</x:v>
      </x:c>
      <x:c r="D8" s="22" t="str">
        <x:v>±°C</x:v>
      </x:c>
      <x:c r="E8" s="22" t="str"/>
      <x:c r="F8" s="22" t="str"/>
      <x:c r="G8" s="22" t="str">
        <x:v>GB/T 40432—2021 §5.1.2</x:v>
      </x:c>
      <x:c r="H8" s="22" t="str">
        <x:v>PASS</x:v>
      </x:c>
      <x:c r="I8" s="22" t="str"/>
    </x:row>
    <x:row r="9" ht="26.399999618530273" hidden="0" customHeight="1">
      <x:c r="A9" s="22" t="str">
        <x:v>chamber_humidity_control_error_percent</x:v>
      </x:c>
      <x:c r="B9" s="22" t="str">
        <x:v>Environmental-chamber humidity control</x:v>
      </x:c>
      <x:c r="C9" s="22" t="n">
        <x:v>3</x:v>
      </x:c>
      <x:c r="D9" s="22" t="str">
        <x:v>±%RH</x:v>
      </x:c>
      <x:c r="E9" s="22" t="str"/>
      <x:c r="F9" s="22" t="str"/>
      <x:c r="G9" s="22" t="str">
        <x:v>GB/T 40432—2021 §5.1.2</x:v>
      </x:c>
      <x:c r="H9" s="22" t="str">
        <x:v>PASS</x:v>
      </x:c>
      <x:c r="I9" s="22" t="str"/>
    </x:row>
    <x:row r="10" ht="15" hidden="0" customHeight="1">
      <x:c r="A10" s="22" t="str">
        <x:v>test_ambient_temperature_c</x:v>
      </x:c>
      <x:c r="B10" s="22" t="str">
        <x:v>General test ambient temperature</x:v>
      </x:c>
      <x:c r="C10" s="22" t="str">
        <x:v>18–28</x:v>
      </x:c>
      <x:c r="D10" s="22" t="str">
        <x:v>°C</x:v>
      </x:c>
      <x:c r="E10" s="22" t="str"/>
      <x:c r="F10" s="22" t="str"/>
      <x:c r="G10" s="22" t="str">
        <x:v>GB/T 40432—2021 §5.1.1</x:v>
      </x:c>
      <x:c r="H10" s="22" t="str">
        <x:v>PASS</x:v>
      </x:c>
      <x:c r="I10" s="22" t="str"/>
    </x:row>
    <x:row r="11" ht="15" hidden="0" customHeight="1">
      <x:c r="A11" s="22" t="str">
        <x:v>test_relative_humidity_percent</x:v>
      </x:c>
      <x:c r="B11" s="22" t="str">
        <x:v>General test relative humidity</x:v>
      </x:c>
      <x:c r="C11" s="22" t="str">
        <x:v>25–75</x:v>
      </x:c>
      <x:c r="D11" s="22" t="str">
        <x:v>%RH</x:v>
      </x:c>
      <x:c r="E11" s="22" t="str"/>
      <x:c r="F11" s="22" t="str"/>
      <x:c r="G11" s="22" t="str">
        <x:v>GB/T 40432—2021 §5.1.1</x:v>
      </x:c>
      <x:c r="H11" s="22" t="str">
        <x:v>PASS</x:v>
      </x:c>
      <x:c r="I11" s="22" t="str"/>
    </x:row>
    <x:row r="12" ht="15" hidden="0" customHeight="1">
      <x:c r="A12" s="22" t="str">
        <x:v>test_pressure_kpa</x:v>
      </x:c>
      <x:c r="B12" s="22" t="str">
        <x:v>General test atmospheric pressure</x:v>
      </x:c>
      <x:c r="C12" s="22" t="str">
        <x:v>86–106</x:v>
      </x:c>
      <x:c r="D12" s="22" t="str">
        <x:v>kPa</x:v>
      </x:c>
      <x:c r="E12" s="22" t="str"/>
      <x:c r="F12" s="22" t="str"/>
      <x:c r="G12" s="22" t="str">
        <x:v>GB/T 40432—2021 §5.1.1</x:v>
      </x:c>
      <x:c r="H12" s="22" t="str">
        <x:v>PASS</x:v>
      </x:c>
      <x:c r="I12" s="22" t="str"/>
    </x:row>
    <x:row r="13" ht="15" hidden="0" customHeight="1">
      <x:c r="A13" s="22" t="str">
        <x:v>liquid_coolant_inlet_temperature_c</x:v>
      </x:c>
      <x:c r="B13" s="22" t="str">
        <x:v>Liquid-cooled test inlet temperature</x:v>
      </x:c>
      <x:c r="C13" s="22" t="str">
        <x:v>40±2</x:v>
      </x:c>
      <x:c r="D13" s="22" t="str">
        <x:v>°C</x:v>
      </x:c>
      <x:c r="E13" s="22" t="str"/>
      <x:c r="F13" s="22" t="str"/>
      <x:c r="G13" s="22" t="str">
        <x:v>GB/T 40432—2021 §5.1.1</x:v>
      </x:c>
      <x:c r="H13" s="22" t="str">
        <x:v>PASS</x:v>
      </x:c>
      <x:c r="I13" s="22" t="str"/>
    </x:row>
  </x:sheetData>
  <x:conditionalFormatting sqref="H2:H13">
    <x:cfRule type="expression" dxfId="16" priority="1">
      <x:formula>H2="PASS"</x:formula>
    </x:cfRule>
    <x:cfRule type="expression" dxfId="17" priority="2">
      <x:formula>H2="WARNING"</x:formula>
    </x:cfRule>
    <x:cfRule type="expression" dxfId="18" priority="3">
      <x:formula>H2="FAIL"</x:formula>
    </x:cfRule>
    <x:cfRule type="expression" dxfId="1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dbe499e352423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storage_temperature_min_c</x:v>
      </x:c>
      <x:c r="B2" s="22" t="str">
        <x:v>Low storage ambient</x:v>
      </x:c>
      <x:c r="C2" s="22" t="n">
        <x:v>-40</x:v>
      </x:c>
      <x:c r="D2" s="22" t="str">
        <x:v>°C</x:v>
      </x:c>
      <x:c r="E2" s="22" t="str"/>
      <x:c r="F2" s="22" t="str"/>
      <x:c r="G2" s="22" t="str">
        <x:v>GB/T 40432—2021 Table 8</x:v>
      </x:c>
      <x:c r="H2" s="22" t="str">
        <x:v>PASS</x:v>
      </x:c>
      <x:c r="I2" s="22" t="str"/>
    </x:row>
    <x:row r="3" ht="15" hidden="0" customHeight="1">
      <x:c r="A3" s="22" t="str">
        <x:v>operating_temperature_min_c</x:v>
      </x:c>
      <x:c r="B3" s="22" t="str">
        <x:v>Low operating ambient</x:v>
      </x:c>
      <x:c r="C3" s="22" t="n">
        <x:v>-20</x:v>
      </x:c>
      <x:c r="D3" s="22" t="str">
        <x:v>°C</x:v>
      </x:c>
      <x:c r="E3" s="22" t="str"/>
      <x:c r="F3" s="22" t="str"/>
      <x:c r="G3" s="22" t="str">
        <x:v>GB/T 40432—2021 Table 8</x:v>
      </x:c>
      <x:c r="H3" s="22" t="str">
        <x:v>PASS</x:v>
      </x:c>
      <x:c r="I3" s="22" t="str"/>
    </x:row>
    <x:row r="4" ht="15" hidden="0" customHeight="1">
      <x:c r="A4" s="22" t="str">
        <x:v>storage_temperature_max_c</x:v>
      </x:c>
      <x:c r="B4" s="22" t="str">
        <x:v>High storage ambient</x:v>
      </x:c>
      <x:c r="C4" s="22" t="n">
        <x:v>85</x:v>
      </x:c>
      <x:c r="D4" s="22" t="str">
        <x:v>°C</x:v>
      </x:c>
      <x:c r="E4" s="22" t="str"/>
      <x:c r="F4" s="22" t="str"/>
      <x:c r="G4" s="22" t="str">
        <x:v>GB/T 40432—2021 Table 8</x:v>
      </x:c>
      <x:c r="H4" s="22" t="str">
        <x:v>PASS</x:v>
      </x:c>
      <x:c r="I4" s="22" t="str"/>
    </x:row>
    <x:row r="5" ht="15" hidden="0" customHeight="1">
      <x:c r="A5" s="22" t="str">
        <x:v>operating_temperature_max_liquid_c</x:v>
      </x:c>
      <x:c r="B5" s="22" t="str">
        <x:v>High operating ambient — liquid cooled</x:v>
      </x:c>
      <x:c r="C5" s="22" t="n">
        <x:v>65</x:v>
      </x:c>
      <x:c r="D5" s="22" t="str">
        <x:v>°C</x:v>
      </x:c>
      <x:c r="E5" s="22" t="str"/>
      <x:c r="F5" s="22" t="str"/>
      <x:c r="G5" s="22" t="str">
        <x:v>GB/T 40432—2021 Table 8</x:v>
      </x:c>
      <x:c r="H5" s="22" t="str">
        <x:v>PASS</x:v>
      </x:c>
      <x:c r="I5" s="22" t="str"/>
    </x:row>
    <x:row r="6" ht="15" hidden="0" customHeight="1">
      <x:c r="A6" s="22" t="str">
        <x:v>operating_temperature_max_air_c</x:v>
      </x:c>
      <x:c r="B6" s="22" t="str">
        <x:v>High operating ambient — air cooled</x:v>
      </x:c>
      <x:c r="C6" s="22" t="n">
        <x:v>55</x:v>
      </x:c>
      <x:c r="D6" s="22" t="str">
        <x:v>°C</x:v>
      </x:c>
      <x:c r="E6" s="22" t="str"/>
      <x:c r="F6" s="22" t="str"/>
      <x:c r="G6" s="22" t="str">
        <x:v>GB/T 40432—2021 Table 8</x:v>
      </x:c>
      <x:c r="H6" s="22" t="str">
        <x:v>PASS</x:v>
      </x:c>
      <x:c r="I6" s="22" t="str"/>
    </x:row>
    <x:row r="7" ht="26.399999618530273" hidden="0" customHeight="1">
      <x:c r="A7" s="22" t="str">
        <x:v>configured_component_temperature_min_c</x:v>
      </x:c>
      <x:c r="B7" s="22" t="str">
        <x:v>Configured component error-budget minimum</x:v>
      </x:c>
      <x:c r="C7" s="22" t="n">
        <x:v>-40</x:v>
      </x:c>
      <x:c r="D7" s="22" t="str">
        <x:v>°C</x:v>
      </x:c>
      <x:c r="E7" s="22" t="str"/>
      <x:c r="F7" s="22" t="str"/>
      <x:c r="G7" s="22" t="str">
        <x:v>environment configuration</x:v>
      </x:c>
      <x:c r="H7" s="22" t="str">
        <x:v>PASS</x:v>
      </x:c>
      <x:c r="I7" s="22" t="str"/>
    </x:row>
    <x:row r="8" ht="26.399999618530273" hidden="0" customHeight="1">
      <x:c r="A8" s="22" t="str">
        <x:v>configured_component_temperature_max_c</x:v>
      </x:c>
      <x:c r="B8" s="22" t="str">
        <x:v>Configured component error-budget maximum</x:v>
      </x:c>
      <x:c r="C8" s="22" t="n">
        <x:v>125</x:v>
      </x:c>
      <x:c r="D8" s="22" t="str">
        <x:v>°C</x:v>
      </x:c>
      <x:c r="E8" s="22" t="str"/>
      <x:c r="F8" s="22" t="str"/>
      <x:c r="G8" s="22" t="str">
        <x:v>environment configuration</x:v>
      </x:c>
      <x:c r="H8" s="22" t="str">
        <x:v>PASS</x:v>
      </x:c>
      <x:c r="I8" s="22" t="str"/>
    </x:row>
    <x:row r="9" ht="15" hidden="0" customHeight="1">
      <x:c r="A9" s="22" t="str">
        <x:v>relative_humidity_range_percent</x:v>
      </x:c>
      <x:c r="B9" s="22" t="str">
        <x:v>Relative-humidity range</x:v>
      </x:c>
      <x:c r="C9" s="22" t="str">
        <x:v>5–95</x:v>
      </x:c>
      <x:c r="D9" s="22" t="str">
        <x:v>%RH</x:v>
      </x:c>
      <x:c r="E9" s="22" t="str"/>
      <x:c r="F9" s="22" t="str"/>
      <x:c r="G9" s="22" t="str">
        <x:v>GB/T 40432—2021 §4.6.1.2</x:v>
      </x:c>
      <x:c r="H9" s="22" t="str">
        <x:v>PASS</x:v>
      </x:c>
      <x:c r="I9" s="22" t="str"/>
    </x:row>
    <x:row r="10" ht="15" hidden="0" customHeight="1">
      <x:c r="A10" s="22" t="str">
        <x:v>altitude_max_m</x:v>
      </x:c>
      <x:c r="B10" s="22" t="str">
        <x:v>Default maximum altitude</x:v>
      </x:c>
      <x:c r="C10" s="22" t="n">
        <x:v>2000</x:v>
      </x:c>
      <x:c r="D10" s="22" t="str">
        <x:v>m</x:v>
      </x:c>
      <x:c r="E10" s="22" t="str"/>
      <x:c r="F10" s="22" t="str"/>
      <x:c r="G10" s="22" t="str">
        <x:v>GB/T 40432—2021 §4.6.1.3</x:v>
      </x:c>
      <x:c r="H10" s="22" t="str">
        <x:v>PASS</x:v>
      </x:c>
      <x:c r="I10" s="22" t="str"/>
    </x:row>
    <x:row r="11" ht="15" hidden="0" customHeight="1">
      <x:c r="A11" s="22" t="str">
        <x:v>insulation_resistance_min_ohm</x:v>
      </x:c>
      <x:c r="B11" s="22" t="str">
        <x:v>Minimum insulation resistance</x:v>
      </x:c>
      <x:c r="C11" s="22" t="n">
        <x:v>10000000</x:v>
      </x:c>
      <x:c r="D11" s="22" t="str">
        <x:v>ohm</x:v>
      </x:c>
      <x:c r="E11" s="22" t="str"/>
      <x:c r="F11" s="22" t="str"/>
      <x:c r="G11" s="22" t="str">
        <x:v>GB/T 40432—2021 §4.4.1</x:v>
      </x:c>
      <x:c r="H11" s="22" t="str">
        <x:v>PASS</x:v>
      </x:c>
      <x:c r="I11" s="22" t="str"/>
    </x:row>
    <x:row r="12" ht="26.399999618530273" hidden="0" customHeight="1">
      <x:c r="A12" s="22" t="str">
        <x:v>dielectric_udmax_v</x:v>
      </x:c>
      <x:c r="B12" s="22" t="str">
        <x:v>Highest working voltage used for dielectric test</x:v>
      </x:c>
      <x:c r="C12" s="22" t="n">
        <x:v>420</x:v>
      </x:c>
      <x:c r="D12" s="22" t="str">
        <x:v>V</x:v>
      </x:c>
      <x:c r="E12" s="22" t="str"/>
      <x:c r="F12" s="22" t="str"/>
      <x:c r="G12" s="22" t="str">
        <x:v>standard_profile.safety.udmax_v or system.vdc_max_v</x:v>
      </x:c>
      <x:c r="H12" s="22" t="str">
        <x:v>PASS</x:v>
      </x:c>
      <x:c r="I12" s="22" t="str"/>
    </x:row>
    <x:row r="13" ht="15" hidden="0" customHeight="1">
      <x:c r="A13" s="22" t="str">
        <x:v>dielectric_test_voltage_rms_v</x:v>
      </x:c>
      <x:c r="B13" s="22" t="str">
        <x:v>Required dielectric test voltage</x:v>
      </x:c>
      <x:c r="C13" s="22" t="n">
        <x:v>2000</x:v>
      </x:c>
      <x:c r="D13" s="22" t="str">
        <x:v>V RMS</x:v>
      </x:c>
      <x:c r="E13" s="22" t="str"/>
      <x:c r="F13" s="22" t="str"/>
      <x:c r="G13" s="22" t="str">
        <x:v>GB/T 40432—2021 Table 4</x:v>
      </x:c>
      <x:c r="H13" s="22" t="str">
        <x:v>PASS</x:v>
      </x:c>
      <x:c r="I13" s="22" t="str"/>
    </x:row>
    <x:row r="14" ht="26.399999618530273" hidden="0" customHeight="1">
      <x:c r="A14" s="22" t="str">
        <x:v>dielectric_test_voltage_dc_equiv_v</x:v>
      </x:c>
      <x:c r="B14" s="22" t="str">
        <x:v>Equivalent DC dielectric test voltage</x:v>
      </x:c>
      <x:c r="C14" s="22" t="n">
        <x:v>2800</x:v>
      </x:c>
      <x:c r="D14" s="22" t="str">
        <x:v>V DC</x:v>
      </x:c>
      <x:c r="E14" s="22" t="str">
        <x:v>1.4*Vac_rms</x:v>
      </x:c>
      <x:c r="F14" s="22" t="str"/>
      <x:c r="G14" s="22" t="str">
        <x:v>GB/T 40432—2021 Table 4 Note 2</x:v>
      </x:c>
      <x:c r="H14" s="22" t="str">
        <x:v>PASS</x:v>
      </x:c>
      <x:c r="I14" s="22" t="str"/>
    </x:row>
    <x:row r="15" ht="15" hidden="0" customHeight="1">
      <x:c r="A15" s="22" t="str">
        <x:v>dielectric_test_duration_s</x:v>
      </x:c>
      <x:c r="B15" s="22" t="str">
        <x:v>Dielectric test duration</x:v>
      </x:c>
      <x:c r="C15" s="22" t="n">
        <x:v>60</x:v>
      </x:c>
      <x:c r="D15" s="22" t="str">
        <x:v>s</x:v>
      </x:c>
      <x:c r="E15" s="22" t="str"/>
      <x:c r="F15" s="22" t="str"/>
      <x:c r="G15" s="22" t="str">
        <x:v>GB/T 40432—2021 §4.4.2</x:v>
      </x:c>
      <x:c r="H15" s="22" t="str">
        <x:v>PASS</x:v>
      </x:c>
      <x:c r="I15" s="22" t="str"/>
    </x:row>
    <x:row r="16" ht="15" hidden="0" customHeight="1">
      <x:c r="A16" s="22" t="str">
        <x:v>contact_current_max_ma</x:v>
      </x:c>
      <x:c r="B16" s="22" t="str">
        <x:v>Maximum contact current</x:v>
      </x:c>
      <x:c r="C16" s="22" t="n">
        <x:v>3.5</x:v>
      </x:c>
      <x:c r="D16" s="22" t="str">
        <x:v>mA</x:v>
      </x:c>
      <x:c r="E16" s="22" t="str"/>
      <x:c r="F16" s="22" t="str"/>
      <x:c r="G16" s="22" t="str">
        <x:v>GB/T 40432—2021 §4.4.3</x:v>
      </x:c>
      <x:c r="H16" s="22" t="str">
        <x:v>PASS</x:v>
      </x:c>
      <x:c r="I16" s="22" t="str"/>
    </x:row>
    <x:row r="17" ht="26.399999618530273" hidden="0" customHeight="1">
      <x:c r="A17" s="22" t="str">
        <x:v>actual_isolation_withstand_rms_v</x:v>
      </x:c>
      <x:c r="B17" s="22" t="str">
        <x:v>Configured isolation-component/system withstand</x:v>
      </x:c>
      <x:c r="C17" s="22"/>
      <x:c r="D17" s="22" t="str">
        <x:v>V RMS</x:v>
      </x:c>
      <x:c r="E17" s="22" t="str"/>
      <x:c r="F17" s="22" t="str"/>
      <x:c r="G17" s="22" t="str">
        <x:v>missing component/system input</x:v>
      </x:c>
      <x:c r="H17" s="22" t="str">
        <x:v>NOT_EVALUATED</x:v>
      </x:c>
      <x:c r="I17" s="22" t="str"/>
    </x:row>
    <x:row r="18" ht="15" hidden="0" customHeight="1">
      <x:c r="A18" s="22" t="str">
        <x:v>surge_differential_v</x:v>
      </x:c>
      <x:c r="B18" s="22" t="str">
        <x:v>AC-port differential-mode surge</x:v>
      </x:c>
      <x:c r="C18" s="22" t="n">
        <x:v>1000</x:v>
      </x:c>
      <x:c r="D18" s="22" t="str">
        <x:v>±V</x:v>
      </x:c>
      <x:c r="E18" s="22" t="str"/>
      <x:c r="F18" s="22" t="str"/>
      <x:c r="G18" s="22" t="str">
        <x:v>GB/T 40432—2021 Table 6</x:v>
      </x:c>
      <x:c r="H18" s="22" t="str">
        <x:v>PASS</x:v>
      </x:c>
      <x:c r="I18" s="22" t="str"/>
    </x:row>
    <x:row r="19" ht="15" hidden="0" customHeight="1">
      <x:c r="A19" s="22" t="str">
        <x:v>surge_common_mode_v</x:v>
      </x:c>
      <x:c r="B19" s="22" t="str">
        <x:v>AC-port common-mode surge</x:v>
      </x:c>
      <x:c r="C19" s="22" t="n">
        <x:v>2000</x:v>
      </x:c>
      <x:c r="D19" s="22" t="str">
        <x:v>±V</x:v>
      </x:c>
      <x:c r="E19" s="22" t="str"/>
      <x:c r="F19" s="22" t="str"/>
      <x:c r="G19" s="22" t="str">
        <x:v>GB/T 40432—2021 Table 6</x:v>
      </x:c>
      <x:c r="H19" s="22" t="str">
        <x:v>PASS</x:v>
      </x:c>
      <x:c r="I19" s="22" t="str"/>
    </x:row>
    <x:row r="20" ht="26.399999618530273" hidden="0" customHeight="1">
      <x:c r="A20" s="22" t="str">
        <x:v>eft_level</x:v>
      </x:c>
      <x:c r="B20" s="22" t="str">
        <x:v>EFT severity level</x:v>
      </x:c>
      <x:c r="C20" s="22" t="str">
        <x:v>Level 3, 5 kHz repetition</x:v>
      </x:c>
      <x:c r="D20" s="22" t="str"/>
      <x:c r="E20" s="22" t="str"/>
      <x:c r="F20" s="22" t="str"/>
      <x:c r="G20" s="22" t="str">
        <x:v>GB/T 40432—2021 §4.5.2.3</x:v>
      </x:c>
      <x:c r="H20" s="22" t="str">
        <x:v>PASS</x:v>
      </x:c>
      <x:c r="I20" s="22" t="str"/>
    </x:row>
    <x:row r="21" ht="26.399999618530273" hidden="0" customHeight="1">
      <x:c r="A21" s="22" t="str">
        <x:v>radiated_immunity</x:v>
      </x:c>
      <x:c r="B21" s="22" t="str">
        <x:v>Radiated immunity</x:v>
      </x:c>
      <x:c r="C21" s="22" t="str">
        <x:v>75 V/m, 80 MHz–2 GHz</x:v>
      </x:c>
      <x:c r="D21" s="22" t="str"/>
      <x:c r="E21" s="22" t="str"/>
      <x:c r="F21" s="22" t="str"/>
      <x:c r="G21" s="22" t="str">
        <x:v>GB/T 40432—2021 §4.5.2.2</x:v>
      </x:c>
      <x:c r="H21" s="22" t="str">
        <x:v>PASS</x:v>
      </x:c>
      <x:c r="I21" s="22" t="str"/>
    </x:row>
    <x:row r="22" ht="39.599998474121094" hidden="0" customHeight="1">
      <x:c r="A22" s="22" t="str">
        <x:v>esd_powered</x:v>
      </x:c>
      <x:c r="B22" s="22" t="str">
        <x:v>Powered ESD</x:v>
      </x:c>
      <x:c r="C22" s="22" t="str">
        <x:v>±8 kV contact; ±15 kV air; ±20 kV indirect contact</x:v>
      </x:c>
      <x:c r="D22" s="22" t="str"/>
      <x:c r="E22" s="22" t="str"/>
      <x:c r="F22" s="22" t="str"/>
      <x:c r="G22" s="22" t="str">
        <x:v>GB/T 40432—2021 Table 5</x:v>
      </x:c>
      <x:c r="H22" s="22" t="str">
        <x:v>PASS</x:v>
      </x:c>
      <x:c r="I22" s="22" t="str"/>
    </x:row>
    <x:row r="23" ht="26.399999618530273" hidden="0" customHeight="1">
      <x:c r="A23" s="22" t="str">
        <x:v>esd_unpowered</x:v>
      </x:c>
      <x:c r="B23" s="22" t="str">
        <x:v>Unpowered ESD</x:v>
      </x:c>
      <x:c r="C23" s="22" t="str">
        <x:v>±8 kV contact; ±15 kV air</x:v>
      </x:c>
      <x:c r="D23" s="22" t="str"/>
      <x:c r="E23" s="22" t="str"/>
      <x:c r="F23" s="22" t="str"/>
      <x:c r="G23" s="22" t="str">
        <x:v>GB/T 40432—2021 Table 5</x:v>
      </x:c>
      <x:c r="H23" s="22" t="str">
        <x:v>PASS</x:v>
      </x:c>
      <x:c r="I23" s="22" t="str"/>
    </x:row>
  </x:sheetData>
  <x:conditionalFormatting sqref="H2:H23">
    <x:cfRule type="expression" dxfId="20" priority="1">
      <x:formula>H2="PASS"</x:formula>
    </x:cfRule>
    <x:cfRule type="expression" dxfId="21" priority="2">
      <x:formula>H2="WARNING"</x:formula>
    </x:cfRule>
    <x:cfRule type="expression" dxfId="22" priority="3">
      <x:formula>H2="FAIL"</x:formula>
    </x:cfRule>
    <x:cfRule type="expression" dxfId="2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86961edd694e0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inverter_output_nominal_v</x:v>
      </x:c>
      <x:c r="B2" s="22" t="str">
        <x:v>Inverter AC output nominal</x:v>
      </x:c>
      <x:c r="C2" s="22" t="n">
        <x:v>220</x:v>
      </x:c>
      <x:c r="D2" s="22" t="str">
        <x:v>V RMS</x:v>
      </x:c>
      <x:c r="E2" s="22" t="str"/>
      <x:c r="F2" s="22" t="str"/>
      <x:c r="G2" s="22" t="str">
        <x:v>GB/T 40432—2021 Table A.1</x:v>
      </x:c>
      <x:c r="H2" s="22" t="str">
        <x:v>PASS</x:v>
      </x:c>
      <x:c r="I2" s="22" t="str"/>
    </x:row>
    <x:row r="3" ht="15" hidden="0" customHeight="1">
      <x:c r="A3" s="22" t="str">
        <x:v>inverter_voltage_accuracy_percent</x:v>
      </x:c>
      <x:c r="B3" s="22" t="str">
        <x:v>Inverter AC voltage accuracy</x:v>
      </x:c>
      <x:c r="C3" s="22" t="n">
        <x:v>5</x:v>
      </x:c>
      <x:c r="D3" s="22" t="str">
        <x:v>±%</x:v>
      </x:c>
      <x:c r="E3" s="22" t="str"/>
      <x:c r="F3" s="22" t="str"/>
      <x:c r="G3" s="22" t="str">
        <x:v>GB/T 40432—2021 §A.1.1.2</x:v>
      </x:c>
      <x:c r="H3" s="22" t="str">
        <x:v>PASS</x:v>
      </x:c>
      <x:c r="I3" s="22" t="str"/>
    </x:row>
    <x:row r="4" ht="15" hidden="0" customHeight="1">
      <x:c r="A4" s="22" t="str">
        <x:v>inverter_frequency_nominal_hz</x:v>
      </x:c>
      <x:c r="B4" s="22" t="str">
        <x:v>Inverter nominal frequency</x:v>
      </x:c>
      <x:c r="C4" s="22" t="n">
        <x:v>50</x:v>
      </x:c>
      <x:c r="D4" s="22" t="str">
        <x:v>Hz</x:v>
      </x:c>
      <x:c r="E4" s="22" t="str"/>
      <x:c r="F4" s="22" t="str"/>
      <x:c r="G4" s="22" t="str">
        <x:v>GB/T 40432—2021 §A.1.1.3</x:v>
      </x:c>
      <x:c r="H4" s="22" t="str">
        <x:v>PASS</x:v>
      </x:c>
      <x:c r="I4" s="22" t="str"/>
    </x:row>
    <x:row r="5" ht="15" hidden="0" customHeight="1">
      <x:c r="A5" s="22" t="str">
        <x:v>inverter_frequency_tolerance_hz</x:v>
      </x:c>
      <x:c r="B5" s="22" t="str">
        <x:v>Inverter frequency tolerance</x:v>
      </x:c>
      <x:c r="C5" s="22" t="n">
        <x:v>0.5</x:v>
      </x:c>
      <x:c r="D5" s="22" t="str">
        <x:v>±Hz</x:v>
      </x:c>
      <x:c r="E5" s="22" t="str"/>
      <x:c r="F5" s="22" t="str"/>
      <x:c r="G5" s="22" t="str">
        <x:v>GB/T 40432—2021 §A.1.1.3</x:v>
      </x:c>
      <x:c r="H5" s="22" t="str">
        <x:v>PASS</x:v>
      </x:c>
      <x:c r="I5" s="22" t="str"/>
    </x:row>
    <x:row r="6" ht="15" hidden="0" customHeight="1">
      <x:c r="A6" s="22" t="str">
        <x:v>load_step_voltage_deviation_percent</x:v>
      </x:c>
      <x:c r="B6" s="22" t="str">
        <x:v>Load-step AC-voltage peak deviation</x:v>
      </x:c>
      <x:c r="C6" s="22" t="n">
        <x:v>15</x:v>
      </x:c>
      <x:c r="D6" s="22" t="str">
        <x:v>±%</x:v>
      </x:c>
      <x:c r="E6" s="22" t="str"/>
      <x:c r="F6" s="22" t="str"/>
      <x:c r="G6" s="22" t="str">
        <x:v>GB/T 40432—2021 §A.1.1.4</x:v>
      </x:c>
      <x:c r="H6" s="22" t="str">
        <x:v>PASS</x:v>
      </x:c>
      <x:c r="I6" s="22" t="str"/>
    </x:row>
    <x:row r="7" ht="15" hidden="0" customHeight="1">
      <x:c r="A7" s="22" t="str">
        <x:v>load_step_recovery_time_ms</x:v>
      </x:c>
      <x:c r="B7" s="22" t="str">
        <x:v>Load-step recovery time</x:v>
      </x:c>
      <x:c r="C7" s="22" t="n">
        <x:v>20</x:v>
      </x:c>
      <x:c r="D7" s="22" t="str">
        <x:v>ms</x:v>
      </x:c>
      <x:c r="E7" s="22" t="str"/>
      <x:c r="F7" s="22" t="str"/>
      <x:c r="G7" s="22" t="str">
        <x:v>GB/T 40432—2021 §A.1.1.4</x:v>
      </x:c>
      <x:c r="H7" s="22" t="str">
        <x:v>PASS</x:v>
      </x:c>
      <x:c r="I7" s="22" t="str"/>
    </x:row>
    <x:row r="8" ht="15" hidden="0" customHeight="1">
      <x:c r="A8" s="22" t="str">
        <x:v>voltage_thd_resistive_percent</x:v>
      </x:c>
      <x:c r="B8" s="22" t="str">
        <x:v>Voltage THD with resistive load</x:v>
      </x:c>
      <x:c r="C8" s="22" t="n">
        <x:v>5</x:v>
      </x:c>
      <x:c r="D8" s="22" t="str">
        <x:v>%</x:v>
      </x:c>
      <x:c r="E8" s="22" t="str"/>
      <x:c r="F8" s="22" t="str"/>
      <x:c r="G8" s="22" t="str">
        <x:v>GB/T 40432—2021 §A.1.1.5</x:v>
      </x:c>
      <x:c r="H8" s="22" t="str">
        <x:v>PASS</x:v>
      </x:c>
      <x:c r="I8" s="22" t="str"/>
    </x:row>
    <x:row r="9" ht="15" hidden="0" customHeight="1">
      <x:c r="A9" s="22" t="str">
        <x:v>voltage_thd_non_resistive_percent</x:v>
      </x:c>
      <x:c r="B9" s="22" t="str">
        <x:v>Voltage THD with non-resistive load</x:v>
      </x:c>
      <x:c r="C9" s="22" t="n">
        <x:v>8</x:v>
      </x:c>
      <x:c r="D9" s="22" t="str">
        <x:v>%</x:v>
      </x:c>
      <x:c r="E9" s="22" t="str"/>
      <x:c r="F9" s="22" t="str"/>
      <x:c r="G9" s="22" t="str">
        <x:v>GB/T 40432—2021 §A.1.1.9</x:v>
      </x:c>
      <x:c r="H9" s="22" t="str">
        <x:v>PASS</x:v>
      </x:c>
      <x:c r="I9" s="22" t="str"/>
    </x:row>
    <x:row r="10" ht="15" hidden="0" customHeight="1">
      <x:c r="A10" s="22" t="str">
        <x:v>grid_current_dc_component_limit_a</x:v>
      </x:c>
      <x:c r="B10" s="22" t="str">
        <x:v>Grid-current DC-component limit</x:v>
      </x:c>
      <x:c r="C10" s="22" t="n">
        <x:v>0.07383779313603875</x:v>
      </x:c>
      <x:c r="D10" s="22" t="str">
        <x:v>A</x:v>
      </x:c>
      <x:c r="E10" s="22" t="str">
        <x:v>max(0.5%*Irated,5mA)</x:v>
      </x:c>
      <x:c r="F10" s="22" t="str"/>
      <x:c r="G10" s="22" t="str">
        <x:v>GB/T 40432—2021 §A.1.1.6</x:v>
      </x:c>
      <x:c r="H10" s="22" t="str">
        <x:v>PASS</x:v>
      </x:c>
      <x:c r="I10" s="22" t="str"/>
    </x:row>
    <x:row r="11" ht="15" hidden="0" customHeight="1">
      <x:c r="A11" s="22" t="str">
        <x:v>inverter_efficiency_min</x:v>
      </x:c>
      <x:c r="B11" s="22" t="str">
        <x:v>Minimum inverter efficiency</x:v>
      </x:c>
      <x:c r="C11" s="22" t="n">
        <x:v>0.92</x:v>
      </x:c>
      <x:c r="D11" s="22" t="str">
        <x:v>pu</x:v>
      </x:c>
      <x:c r="E11" s="22" t="str"/>
      <x:c r="F11" s="22" t="str"/>
      <x:c r="G11" s="22" t="str">
        <x:v>GB/T 40432—2021 §A.1.1.7</x:v>
      </x:c>
      <x:c r="H11" s="22" t="str">
        <x:v>PASS</x:v>
      </x:c>
      <x:c r="I11" s="22" t="str"/>
    </x:row>
    <x:row r="12" ht="15" hidden="0" customHeight="1">
      <x:c r="A12" s="22" t="str">
        <x:v>no_load_loss_limit_w</x:v>
      </x:c>
      <x:c r="B12" s="22" t="str">
        <x:v>No-load loss limit</x:v>
      </x:c>
      <x:c r="C12" s="22" t="n">
        <x:v>75</x:v>
      </x:c>
      <x:c r="D12" s="22" t="str">
        <x:v>W</x:v>
      </x:c>
      <x:c r="E12" s="22" t="str">
        <x:v>max(3%*Prated,50W)</x:v>
      </x:c>
      <x:c r="F12" s="22" t="str"/>
      <x:c r="G12" s="22" t="str">
        <x:v>GB/T 40432—2021 §A.1.1.8</x:v>
      </x:c>
      <x:c r="H12" s="22" t="str">
        <x:v>PASS</x:v>
      </x:c>
      <x:c r="I12" s="22" t="str"/>
    </x:row>
  </x:sheetData>
  <x:conditionalFormatting sqref="H2:H12">
    <x:cfRule type="expression" dxfId="24" priority="1">
      <x:formula>H2="PASS"</x:formula>
    </x:cfRule>
    <x:cfRule type="expression" dxfId="25" priority="2">
      <x:formula>H2="WARNING"</x:formula>
    </x:cfRule>
    <x:cfRule type="expression" dxfId="26" priority="3">
      <x:formula>H2="FAIL"</x:formula>
    </x:cfRule>
    <x:cfRule type="expression" dxfId="2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4a297e7a6d49e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phase_count</x:v>
      </x:c>
      <x:c r="B2" s="22" t="str">
        <x:v>AC phase count</x:v>
      </x:c>
      <x:c r="C2" s="22" t="n">
        <x:v>1</x:v>
      </x:c>
      <x:c r="D2" s="22" t="str">
        <x:v>phase</x:v>
      </x:c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15" hidden="0" customHeight="1">
      <x:c r="A3" s="22" t="str">
        <x:v>ac_voltage_basis</x:v>
      </x:c>
      <x:c r="B3" s="22" t="str">
        <x:v>AC voltage basis</x:v>
      </x:c>
      <x:c r="C3" s="22" t="str">
        <x:v>single_phase</x:v>
      </x:c>
      <x:c r="D3" s="22" t="str"/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15" hidden="0" customHeight="1">
      <x:c r="A4" s="22" t="str">
        <x:v>phase_unbalance_factor</x:v>
      </x:c>
      <x:c r="B4" s="22" t="str">
        <x:v>Phase unbalance design factor</x:v>
      </x:c>
      <x:c r="C4" s="22" t="n">
        <x:v>1</x:v>
      </x:c>
      <x:c r="D4" s="22" t="str">
        <x:v>pu</x:v>
      </x:c>
      <x:c r="E4" s="22" t="str"/>
      <x:c r="F4" s="22" t="str"/>
      <x:c r="G4" s="22" t="str">
        <x:v>configuration</x:v>
      </x:c>
      <x:c r="H4" s="22" t="str">
        <x:v>PASS</x:v>
      </x:c>
      <x:c r="I4" s="22" t="str"/>
    </x:row>
    <x:row r="5" ht="26.399999618530273" hidden="0" customHeight="1">
      <x:c r="A5" s="22" t="str">
        <x:v>iac_rms_max_a</x:v>
      </x:c>
      <x:c r="B5" s="22" t="str">
        <x:v>Maximum per-line/per-phase AC RMS current</x:v>
      </x:c>
      <x:c r="C5" s="22" t="n">
        <x:v>14.76755862720775</x:v>
      </x:c>
      <x:c r="D5" s="22" t="str">
        <x:v>A</x:v>
      </x:c>
      <x:c r="E5" s="22" t="str">
        <x:v>Ppeak/(Vac_min*eta*PF)</x:v>
      </x:c>
      <x:c r="F5" s="22" t="str">
        <x:v>peak_power=2500.0, vac_min=180.0, efficiency=0.95, pf=0.99, unbalance=1.0</x:v>
      </x:c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iac_peak_a</x:v>
      </x:c>
      <x:c r="B6" s="22" t="str">
        <x:v>Maximum per-phase AC peak current</x:v>
      </x:c>
      <x:c r="C6" s="22" t="n">
        <x:v>20.884481693737005</x:v>
      </x:c>
      <x:c r="D6" s="22" t="str">
        <x:v>A</x:v>
      </x:c>
      <x:c r="E6" s="22" t="str">
        <x:v>sqrt(2)*Iac_rms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iac_design_peak_a</x:v>
      </x:c>
      <x:c r="B7" s="22" t="str">
        <x:v>Bidirectional per-phase IAC design peak</x:v>
      </x:c>
      <x:c r="C7" s="22" t="n">
        <x:v>27.56751583573285</x:v>
      </x:c>
      <x:c r="D7" s="22" t="str">
        <x:v>A</x:v>
      </x:c>
      <x:c r="E7" s="22" t="str">
        <x:v>Iac_peak*Koverload*Kmargin</x:v>
      </x:c>
      <x:c r="F7" s="22" t="str">
        <x:v>overload=1.1, iac_margin=1.2</x:v>
      </x:c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idc_continuous_max_a</x:v>
      </x:c>
      <x:c r="B8" s="22" t="str">
        <x:v>Maximum DC continuous current</x:v>
      </x:c>
      <x:c r="C8" s="22" t="n">
        <x:v>7.112375533428165</x:v>
      </x:c>
      <x:c r="D8" s="22" t="str">
        <x:v>A</x:v>
      </x:c>
      <x:c r="E8" s="22" t="str">
        <x:v>Ppeak/(Vdc_min*eta)</x:v>
      </x:c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idc_design_peak_a</x:v>
      </x:c>
      <x:c r="B9" s="22" t="str">
        <x:v>Bidirectional IDC design peak</x:v>
      </x:c>
      <x:c r="C9" s="22" t="n">
        <x:v>9.38833570412518</x:v>
      </x:c>
      <x:c r="D9" s="22" t="str">
        <x:v>A</x:v>
      </x:c>
      <x:c r="E9" s="22" t="str">
        <x:v>Idc_cont*Koverload*Kmargin</x:v>
      </x:c>
      <x:c r="F9" s="22" t="str">
        <x:v>overload=1.1, idc_margin=1.2</x:v>
      </x:c>
      <x:c r="G9" s="22" t="str">
        <x:v>calculated</x:v>
      </x:c>
      <x:c r="H9" s="22" t="str">
        <x:v>PASS</x:v>
      </x:c>
      <x:c r="I9" s="22" t="str"/>
    </x:row>
  </x:sheetData>
  <x:conditionalFormatting sqref="H2:H9">
    <x:cfRule type="expression" dxfId="28" priority="1">
      <x:formula>H2="PASS"</x:formula>
    </x:cfRule>
    <x:cfRule type="expression" dxfId="29" priority="2">
      <x:formula>H2="WARNING"</x:formula>
    </x:cfRule>
    <x:cfRule type="expression" dxfId="30" priority="3">
      <x:formula>H2="FAIL"</x:formula>
    </x:cfRule>
    <x:cfRule type="expression" dxfId="3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ec150487494b6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phase_mode</x:v>
      </x:c>
      <x:c r="B2" s="22" t="str">
        <x:v>Phase-channel model</x:v>
      </x:c>
      <x:c r="C2" s="22" t="str">
        <x:v>single_phase</x:v>
      </x:c>
      <x:c r="D2" s="22" t="str"/>
      <x:c r="E2" s="22" t="str"/>
      <x:c r="F2" s="22" t="str"/>
      <x:c r="G2" s="22" t="str">
        <x:v>calculated</x:v>
      </x:c>
      <x:c r="H2" s="22" t="str">
        <x:v>PASS</x:v>
      </x:c>
      <x:c r="I2" s="22" t="str"/>
    </x:row>
  </x:sheetData>
  <x:conditionalFormatting sqref="H2:H2">
    <x:cfRule type="expression" dxfId="32" priority="1">
      <x:formula>H2="PASS"</x:formula>
    </x:cfRule>
    <x:cfRule type="expression" dxfId="33" priority="2">
      <x:formula>H2="WARNING"</x:formula>
    </x:cfRule>
    <x:cfRule type="expression" dxfId="34" priority="3">
      <x:formula>H2="FAIL"</x:formula>
    </x:cfRule>
    <x:cfRule type="expression" dxfId="3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7a31d6636042d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design_current_a</x:v>
      </x:c>
      <x:c r="B2" s="22" t="str">
        <x:v>Required bidirectional peak current</x:v>
      </x:c>
      <x:c r="C2" s="22" t="n">
        <x:v>27.56751583573285</x:v>
      </x:c>
      <x:c r="D2" s="22" t="str">
        <x:v>A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effective_sensitivity_v_per_a</x:v>
      </x:c>
      <x:c r="B3" s="22" t="str">
        <x:v>Effective ADC sensitivity</x:v>
      </x:c>
      <x:c r="C3" s="22" t="n">
        <x:v>0.0146067</x:v>
      </x:c>
      <x:c r="D3" s="22" t="str">
        <x:v>V/A</x:v>
      </x:c>
      <x:c r="E3" s="22" t="str">
        <x:v>Sensor sensitivity*front-end gain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maximum_sensitivity_v_per_a</x:v>
      </x:c>
      <x:c r="B4" s="22" t="str">
        <x:v>Maximum permissible ADC sensitivity</x:v>
      </x:c>
      <x:c r="C4" s="22" t="n">
        <x:v>0.04573027208951222</x:v>
      </x:c>
      <x:c r="D4" s="22" t="str">
        <x:v>V/A</x:v>
      </x:c>
      <x:c r="E4" s="22" t="str">
        <x:v>min((Vzero-Vmin)/Imax,(Vmax-Vzero)/Imax)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maximum_front_end_gain</x:v>
      </x:c>
      <x:c r="B5" s="22" t="str">
        <x:v>Maximum permissible front-end gain</x:v>
      </x:c>
      <x:c r="C5" s="22" t="n">
        <x:v>1.8292108835804888</x:v>
      </x:c>
      <x:c r="D5" s="22" t="str">
        <x:v>V/V</x:v>
      </x:c>
      <x:c r="E5" s="22" t="str">
        <x:v>Seff_max/Ssensor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zero_adc_v</x:v>
      </x:c>
      <x:c r="B6" s="22" t="str">
        <x:v>ADC zero-current voltage</x:v>
      </x:c>
      <x:c r="C6" s="22" t="n">
        <x:v>1.46067</x:v>
      </x:c>
      <x:c r="D6" s="22" t="str">
        <x:v>V</x:v>
      </x:c>
      <x:c r="E6" s="22" t="str"/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zero_adc_code</x:v>
      </x:c>
      <x:c r="B7" s="22" t="str">
        <x:v>ADC zero-current code</x:v>
      </x:c>
      <x:c r="C7" s="22" t="n">
        <x:v>1994.30144</x:v>
      </x:c>
      <x:c r="D7" s="22" t="str">
        <x:v>code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adc_min_v</x:v>
      </x:c>
      <x:c r="B8" s="22" t="str">
        <x:v>ADC voltage at negative design current</x:v>
      </x:c>
      <x:c r="C8" s="22" t="n">
        <x:v>1.0579995664422008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adc_max_v</x:v>
      </x:c>
      <x:c r="B9" s="22" t="str">
        <x:v>ADC voltage at positive design current</x:v>
      </x:c>
      <x:c r="C9" s="22" t="n">
        <x:v>1.863340433557799</x:v>
      </x:c>
      <x:c r="D9" s="22" t="str">
        <x:v>V</x:v>
      </x:c>
      <x:c r="E9" s="22" t="str"/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adc_min_code</x:v>
      </x:c>
      <x:c r="B10" s="22" t="str">
        <x:v>ADC code at negative design current</x:v>
      </x:c>
      <x:c r="C10" s="22" t="n">
        <x:v>1444.5220747157516</x:v>
      </x:c>
      <x:c r="D10" s="22" t="str">
        <x:v>code</x:v>
      </x:c>
      <x:c r="E10" s="22" t="str"/>
      <x:c r="F10" s="22" t="str"/>
      <x:c r="G10" s="22" t="str">
        <x:v>calculated</x:v>
      </x:c>
      <x:c r="H10" s="22" t="str">
        <x:v>PASS</x:v>
      </x:c>
      <x:c r="I10" s="22" t="str"/>
    </x:row>
    <x:row r="11" ht="15" hidden="0" customHeight="1">
      <x:c r="A11" s="22" t="str">
        <x:v>adc_max_code</x:v>
      </x:c>
      <x:c r="B11" s="22" t="str">
        <x:v>ADC code at positive design current</x:v>
      </x:c>
      <x:c r="C11" s="22" t="n">
        <x:v>2544.080805284248</x:v>
      </x:c>
      <x:c r="D11" s="22" t="str">
        <x:v>code</x:v>
      </x:c>
      <x:c r="E11" s="22" t="str"/>
      <x:c r="F11" s="22" t="str"/>
      <x:c r="G11" s="22" t="str">
        <x:v>calculated</x:v>
      </x:c>
      <x:c r="H11" s="22" t="str">
        <x:v>PASS</x:v>
      </x:c>
      <x:c r="I11" s="22" t="str"/>
    </x:row>
    <x:row r="12" ht="15" hidden="0" customHeight="1">
      <x:c r="A12" s="22" t="str">
        <x:v>current_per_code_a</x:v>
      </x:c>
      <x:c r="B12" s="22" t="str">
        <x:v>Current resolution</x:v>
      </x:c>
      <x:c r="C12" s="22" t="n">
        <x:v>0.050142871079709994</x:v>
      </x:c>
      <x:c r="D12" s="22" t="str">
        <x:v>A/code</x:v>
      </x:c>
      <x:c r="E12" s="22" t="str">
        <x:v>Vlsb/Seff</x:v>
      </x:c>
      <x:c r="F12" s="22" t="str"/>
      <x:c r="G12" s="22" t="str">
        <x:v>calculated</x:v>
      </x:c>
      <x:c r="H12" s="22" t="str">
        <x:v>PASS</x:v>
      </x:c>
      <x:c r="I12" s="22" t="str"/>
    </x:row>
    <x:row r="13" ht="15" hidden="0" customHeight="1">
      <x:c r="A13" s="22" t="str">
        <x:v>adc_utilization</x:v>
      </x:c>
      <x:c r="B13" s="22" t="str">
        <x:v>ADC span utilization</x:v>
      </x:c>
      <x:c r="C13" s="22" t="n">
        <x:v>0.2684469557051994</x:v>
      </x:c>
      <x:c r="D13" s="22" t="str">
        <x:v>pu</x:v>
      </x:c>
      <x:c r="E13" s="22" t="str">
        <x:v>(Vmax-Vmin)/Vref</x:v>
      </x:c>
      <x:c r="F13" s="22" t="str"/>
      <x:c r="G13" s="22" t="str">
        <x:v>calculated</x:v>
      </x:c>
      <x:c r="H13" s="22" t="str">
        <x:v>WARNING</x:v>
      </x:c>
      <x:c r="I13" s="22" t="str"/>
    </x:row>
  </x:sheetData>
  <x:conditionalFormatting sqref="H2:H13">
    <x:cfRule type="expression" dxfId="36" priority="1">
      <x:formula>H2="PASS"</x:formula>
    </x:cfRule>
    <x:cfRule type="expression" dxfId="37" priority="2">
      <x:formula>H2="WARNING"</x:formula>
    </x:cfRule>
    <x:cfRule type="expression" dxfId="38" priority="3">
      <x:formula>H2="FAIL"</x:formula>
    </x:cfRule>
    <x:cfRule type="expression" dxfId="3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65d8ea083343a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vac_design_peak_v</x:v>
      </x:c>
      <x:c r="B2" s="22" t="str">
        <x:v>VAC design peak including margin</x:v>
      </x:c>
      <x:c r="C2" s="22" t="n">
        <x:v>430.9815831332007</x:v>
      </x:c>
      <x:c r="D2" s="22" t="str">
        <x:v>V</x:v>
      </x:c>
      <x:c r="E2" s="22" t="str">
        <x:v>Vac_rms_max*sqrt(2)*Kmargin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divider_ratio</x:v>
      </x:c>
      <x:c r="B3" s="22" t="str">
        <x:v>Configured divider ratio</x:v>
      </x:c>
      <x:c r="C3" s="22" t="n">
        <x:v>0.0033222591362126247</x:v>
      </x:c>
      <x:c r="D3" s="22" t="str">
        <x:v>V/V</x:v>
      </x:c>
      <x:c r="E3" s="22" t="str">
        <x:v>Rbottom/(Rtop+Rbottom)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isolation_input_peak_v</x:v>
      </x:c>
      <x:c r="B4" s="22" t="str">
        <x:v>Isolation amplifier input peak</x:v>
      </x:c>
      <x:c r="C4" s="22" t="n">
        <x:v>1.4318325021036566</x:v>
      </x:c>
      <x:c r="D4" s="22" t="str">
        <x:v>V</x:v>
      </x:c>
      <x:c r="E4" s="22" t="str">
        <x:v>Vdesign*Kdivider</x:v>
      </x:c>
      <x:c r="F4" s="22" t="str"/>
      <x:c r="G4" s="22" t="str">
        <x:v>calculated</x:v>
      </x:c>
      <x:c r="H4" s="22" t="str">
        <x:v>FAIL</x:v>
      </x:c>
      <x:c r="I4" s="22" t="str"/>
    </x:row>
    <x:row r="5" ht="15" hidden="0" customHeight="1">
      <x:c r="A5" s="22" t="str">
        <x:v>isolation_linear_limit_v</x:v>
      </x:c>
      <x:c r="B5" s="22" t="str">
        <x:v>Isolation amplifier linear input limit</x:v>
      </x:c>
      <x:c r="C5" s="22" t="n">
        <x:v>1</x:v>
      </x:c>
      <x:c r="D5" s="22" t="str">
        <x:v>V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recommended_high_side_ohm</x:v>
      </x:c>
      <x:c r="B6" s="22" t="str">
        <x:v>Required high-side resistance</x:v>
      </x:c>
      <x:c r="C6" s="22" t="n">
        <x:v>1576965.8048217357</x:v>
      </x:c>
      <x:c r="D6" s="22" t="str">
        <x:v>ohm</x:v>
      </x:c>
      <x:c r="E6" s="22" t="str">
        <x:v>Rbottom*(Vdesign/Vtarget-1)</x:v>
      </x:c>
      <x:c r="F6" s="22" t="str"/>
      <x:c r="G6" s="22" t="str">
        <x:v>calculated</x:v>
      </x:c>
      <x:c r="H6" s="22" t="str">
        <x:v>FAIL</x:v>
      </x:c>
      <x:c r="I6" s="22" t="str"/>
    </x:row>
    <x:row r="7" ht="15" hidden="0" customHeight="1">
      <x:c r="A7" s="22" t="str">
        <x:v>adc_output_min_v</x:v>
      </x:c>
      <x:c r="B7" s="22" t="str">
        <x:v>ADC minimum voltage</x:v>
      </x:c>
      <x:c r="C7" s="22" t="n">
        <x:v>0.21816749789634327</x:v>
      </x:c>
      <x:c r="D7" s="22" t="str">
        <x:v>V</x:v>
      </x:c>
      <x:c r="E7" s="22" t="str"/>
      <x:c r="F7" s="22" t="str"/>
      <x:c r="G7" s="22" t="str">
        <x:v>calculated</x:v>
      </x:c>
      <x:c r="H7" s="22" t="str">
        <x:v>FAIL</x:v>
      </x:c>
      <x:c r="I7" s="22" t="str"/>
    </x:row>
    <x:row r="8" ht="15" hidden="0" customHeight="1">
      <x:c r="A8" s="22" t="str">
        <x:v>adc_output_max_v</x:v>
      </x:c>
      <x:c r="B8" s="22" t="str">
        <x:v>ADC maximum voltage</x:v>
      </x:c>
      <x:c r="C8" s="22" t="n">
        <x:v>3.081832502103657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FAIL</x:v>
      </x:c>
      <x:c r="I8" s="22" t="str"/>
    </x:row>
    <x:row r="9" ht="15" hidden="0" customHeight="1">
      <x:c r="A9" s="22" t="str">
        <x:v>vac_per_code_v</x:v>
      </x:c>
      <x:c r="B9" s="22" t="str">
        <x:v>VAC resolution</x:v>
      </x:c>
      <x:c r="C9" s="22" t="n">
        <x:v>0.220458984375</x:v>
      </x:c>
      <x:c r="D9" s="22" t="str">
        <x:v>V/code</x:v>
      </x:c>
      <x:c r="E9" s="22" t="str">
        <x:v>Vlsb/(Kdivider*Gain)</x:v>
      </x:c>
      <x:c r="F9" s="22" t="str"/>
      <x:c r="G9" s="22" t="str">
        <x:v>calculated</x:v>
      </x:c>
      <x:c r="H9" s="22" t="str">
        <x:v>PASS</x:v>
      </x:c>
      <x:c r="I9" s="22" t="str"/>
    </x:row>
  </x:sheetData>
  <x:conditionalFormatting sqref="H2:H9">
    <x:cfRule type="expression" dxfId="40" priority="1">
      <x:formula>H2="PASS"</x:formula>
    </x:cfRule>
    <x:cfRule type="expression" dxfId="41" priority="2">
      <x:formula>H2="WARNING"</x:formula>
    </x:cfRule>
    <x:cfRule type="expression" dxfId="42" priority="3">
      <x:formula>H2="FAIL"</x:formula>
    </x:cfRule>
    <x:cfRule type="expression" dxfId="4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88a08d7af64f9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159154.94309189534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159154.94309189534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15000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0.9998223944475859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1.0798721171883547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-2.7606280443612286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44" priority="1">
      <x:formula>H2="PASS"</x:formula>
    </x:cfRule>
    <x:cfRule type="expression" dxfId="45" priority="2">
      <x:formula>H2="WARNING"</x:formula>
    </x:cfRule>
    <x:cfRule type="expression" dxfId="46" priority="3">
      <x:formula>H2="FAIL"</x:formula>
    </x:cfRule>
    <x:cfRule type="expression" dxfId="4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e2ef2cb3df4a6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338627.5384933943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145000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342.9015690828403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0.9999999785969091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0.011854299040457476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-3.1600277531941905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48" priority="1">
      <x:formula>H2="PASS"</x:formula>
    </x:cfRule>
    <x:cfRule type="expression" dxfId="49" priority="2">
      <x:formula>H2="WARNING"</x:formula>
    </x:cfRule>
    <x:cfRule type="expression" dxfId="50" priority="3">
      <x:formula>H2="FAIL"</x:formula>
    </x:cfRule>
    <x:cfRule type="expression" dxfId="5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1e2f47edac4f1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actual_shunt_ohm</x:v>
      </x:c>
      <x:c r="B2" s="22" t="str">
        <x:v>Configured shunt resistance</x:v>
      </x:c>
      <x:c r="C2" s="22" t="n">
        <x:v>0.001</x:v>
      </x:c>
      <x:c r="D2" s="22" t="str">
        <x:v>ohm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max_shunt_adc_ohm</x:v>
      </x:c>
      <x:c r="B3" s="22" t="str">
        <x:v>Maximum shunt from ADC swing</x:v>
      </x:c>
      <x:c r="C3" s="22" t="n">
        <x:v>0.004751221303948576</x:v>
      </x:c>
      <x:c r="D3" s="22" t="str">
        <x:v>ohm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max_shunt_input_ohm</x:v>
      </x:c>
      <x:c r="B4" s="22" t="str">
        <x:v>Maximum shunt from amplifier input</x:v>
      </x:c>
      <x:c r="C4" s="22" t="n">
        <x:v>0.005453575757575757</x:v>
      </x:c>
      <x:c r="D4" s="22" t="str">
        <x:v>ohm</x:v>
      </x:c>
      <x:c r="E4" s="22" t="str"/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recommended_shunt_max_ohm</x:v>
      </x:c>
      <x:c r="B5" s="22" t="str">
        <x:v>Recommended maximum shunt</x:v>
      </x:c>
      <x:c r="C5" s="22" t="n">
        <x:v>0.004751221303948576</x:v>
      </x:c>
      <x:c r="D5" s="22" t="str">
        <x:v>ohm</x:v>
      </x:c>
      <x:c r="E5" s="22" t="str">
        <x:v>min(R_adc,R_input)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effective_sensitivity_v_per_a</x:v>
      </x:c>
      <x:c r="B6" s="22" t="str">
        <x:v>Effective ADC sensitivity</x:v>
      </x:c>
      <x:c r="C6" s="22" t="n">
        <x:v>0.02578125</x:v>
      </x:c>
      <x:c r="D6" s="22" t="str">
        <x:v>V/A</x:v>
      </x:c>
      <x:c r="E6" s="22" t="str">
        <x:v>Rshunt*Vref/(2*Vclip)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zero_adc_v</x:v>
      </x:c>
      <x:c r="B7" s="22" t="str">
        <x:v>Zero-current ADC voltage</x:v>
      </x:c>
      <x:c r="C7" s="22" t="n">
        <x:v>1.65</x:v>
      </x:c>
      <x:c r="D7" s="22" t="str">
        <x:v>V</x:v>
      </x:c>
      <x:c r="E7" s="22" t="str"/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adc_min_v</x:v>
      </x:c>
      <x:c r="B8" s="22" t="str">
        <x:v>ADC voltage at negative design current</x:v>
      </x:c>
      <x:c r="C8" s="22" t="n">
        <x:v>1.4079569701280226</x:v>
      </x:c>
      <x:c r="D8" s="22" t="str">
        <x:v>V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  <x:row r="9" ht="15" hidden="0" customHeight="1">
      <x:c r="A9" s="22" t="str">
        <x:v>adc_max_v</x:v>
      </x:c>
      <x:c r="B9" s="22" t="str">
        <x:v>ADC voltage at positive design current</x:v>
      </x:c>
      <x:c r="C9" s="22" t="n">
        <x:v>1.8920430298719773</x:v>
      </x:c>
      <x:c r="D9" s="22" t="str">
        <x:v>V</x:v>
      </x:c>
      <x:c r="E9" s="22" t="str"/>
      <x:c r="F9" s="22" t="str"/>
      <x:c r="G9" s="22" t="str">
        <x:v>calculated</x:v>
      </x:c>
      <x:c r="H9" s="22" t="str">
        <x:v>PASS</x:v>
      </x:c>
      <x:c r="I9" s="22" t="str"/>
    </x:row>
    <x:row r="10" ht="15" hidden="0" customHeight="1">
      <x:c r="A10" s="22" t="str">
        <x:v>current_per_code_a</x:v>
      </x:c>
      <x:c r="B10" s="22" t="str">
        <x:v>Current resolution</x:v>
      </x:c>
      <x:c r="C10" s="22" t="n">
        <x:v>0.02840909090909091</x:v>
      </x:c>
      <x:c r="D10" s="22" t="str">
        <x:v>A/code</x:v>
      </x:c>
      <x:c r="E10" s="22" t="str">
        <x:v>Vlsb/Seff</x:v>
      </x:c>
      <x:c r="F10" s="22" t="str"/>
      <x:c r="G10" s="22" t="str">
        <x:v>calculated</x:v>
      </x:c>
      <x:c r="H10" s="22" t="str">
        <x:v>PASS</x:v>
      </x:c>
      <x:c r="I10" s="22" t="str"/>
    </x:row>
    <x:row r="11" ht="15" hidden="0" customHeight="1">
      <x:c r="A11" s="22" t="str">
        <x:v>adc_utilization</x:v>
      </x:c>
      <x:c r="B11" s="22" t="str">
        <x:v>ADC span utilization</x:v>
      </x:c>
      <x:c r="C11" s="22" t="n">
        <x:v>0.16136201991465157</x:v>
      </x:c>
      <x:c r="D11" s="22" t="str">
        <x:v>pu</x:v>
      </x:c>
      <x:c r="E11" s="22" t="str"/>
      <x:c r="F11" s="22" t="str"/>
      <x:c r="G11" s="22" t="str">
        <x:v>calculated</x:v>
      </x:c>
      <x:c r="H11" s="22" t="str">
        <x:v>PASS</x:v>
      </x:c>
      <x:c r="I11" s="22" t="str"/>
    </x:row>
    <x:row r="12" ht="15" hidden="0" customHeight="1">
      <x:c r="A12" s="22" t="str">
        <x:v>continuous_shunt_power_w</x:v>
      </x:c>
      <x:c r="B12" s="22" t="str">
        <x:v>Continuous shunt loss</x:v>
      </x:c>
      <x:c r="C12" s="22" t="n">
        <x:v>0.05058588572850757</x:v>
      </x:c>
      <x:c r="D12" s="22" t="str">
        <x:v>W</x:v>
      </x:c>
      <x:c r="E12" s="22" t="str">
        <x:v>Irms^2*R</x:v>
      </x:c>
      <x:c r="F12" s="22" t="str"/>
      <x:c r="G12" s="22" t="str">
        <x:v>calculated</x:v>
      </x:c>
      <x:c r="H12" s="22" t="str">
        <x:v>PASS</x:v>
      </x:c>
      <x:c r="I12" s="22" t="str"/>
    </x:row>
    <x:row r="13" ht="15" hidden="0" customHeight="1">
      <x:c r="A13" s="22" t="str">
        <x:v>peak_shunt_power_w</x:v>
      </x:c>
      <x:c r="B13" s="22" t="str">
        <x:v>Peak shunt loss</x:v>
      </x:c>
      <x:c r="C13" s="22" t="n">
        <x:v>0.08814084729335163</x:v>
      </x:c>
      <x:c r="D13" s="22" t="str">
        <x:v>W</x:v>
      </x:c>
      <x:c r="E13" s="22" t="str">
        <x:v>Ipeak^2*R</x:v>
      </x:c>
      <x:c r="F13" s="22" t="str"/>
      <x:c r="G13" s="22" t="str">
        <x:v>calculated</x:v>
      </x:c>
      <x:c r="H13" s="22" t="str">
        <x:v>PASS</x:v>
      </x:c>
      <x:c r="I13" s="22" t="str"/>
    </x:row>
    <x:row r="14" ht="39.599998474121094" hidden="0" customHeight="1">
      <x:c r="A14" s="22" t="str">
        <x:v>equivalent_offset_current_a</x:v>
      </x:c>
      <x:c r="B14" s="22" t="str">
        <x:v>Equivalent input offset current</x:v>
      </x:c>
      <x:c r="C14" s="22"/>
      <x:c r="D14" s="22" t="str">
        <x:v>A</x:v>
      </x:c>
      <x:c r="E14" s="22" t="str">
        <x:v>Vos/Rshunt</x:v>
      </x:c>
      <x:c r="F14" s="22" t="str"/>
      <x:c r="G14" s="22" t="str">
        <x:v>missing input</x:v>
      </x:c>
      <x:c r="H14" s="22" t="str">
        <x:v>NOT_EVALUATED</x:v>
      </x:c>
      <x:c r="I14" s="22" t="str">
        <x:v>Enter channels.idc.amplifier.input_offset_v.</x:v>
      </x:c>
    </x:row>
  </x:sheetData>
  <x:conditionalFormatting sqref="H2:H14">
    <x:cfRule type="expression" dxfId="52" priority="1">
      <x:formula>H2="PASS"</x:formula>
    </x:cfRule>
    <x:cfRule type="expression" dxfId="53" priority="2">
      <x:formula>H2="WARNING"</x:formula>
    </x:cfRule>
    <x:cfRule type="expression" dxfId="54" priority="3">
      <x:formula>H2="FAIL"</x:formula>
    </x:cfRule>
    <x:cfRule type="expression" dxfId="5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11f8ce26dc459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vdc_design_max_v</x:v>
      </x:c>
      <x:c r="B2" s="22" t="str">
        <x:v>VDC design maximum including margin</x:v>
      </x:c>
      <x:c r="C2" s="22" t="n">
        <x:v>482.99999999999994</x:v>
      </x:c>
      <x:c r="D2" s="22" t="str">
        <x:v>V</x:v>
      </x:c>
      <x:c r="E2" s="22" t="str">
        <x:v>Vdc_max*Kmargin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architecture</x:v>
      </x:c>
      <x:c r="B3" s="22" t="str">
        <x:v>Sensing architecture</x:v>
      </x:c>
      <x:c r="C3" s="22" t="str">
        <x:v>direct_hv</x:v>
      </x:c>
      <x:c r="D3" s="22" t="str"/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sensor_transfer_ratio</x:v>
      </x:c>
      <x:c r="B4" s="22" t="str">
        <x:v>Direct-HV sensor transfer ratio</x:v>
      </x:c>
      <x:c r="C4" s="22" t="n">
        <x:v>0.002576112412177986</x:v>
      </x:c>
      <x:c r="D4" s="22" t="str">
        <x:v>V/V</x:v>
      </x:c>
      <x:c r="E4" s="22" t="str">
        <x:v>Vref/Vclip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adc_voltage_at_design_max</x:v>
      </x:c>
      <x:c r="B5" s="22" t="str">
        <x:v>ADC voltage at VDC design maximum</x:v>
      </x:c>
      <x:c r="C5" s="22" t="n">
        <x:v>1.244262295081967</x:v>
      </x:c>
      <x:c r="D5" s="22" t="str">
        <x:v>V</x:v>
      </x:c>
      <x:c r="E5" s="22" t="str"/>
      <x:c r="F5" s="22" t="str"/>
      <x:c r="G5" s="22" t="str">
        <x:v>calculated</x:v>
      </x:c>
      <x:c r="H5" s="22" t="str">
        <x:v>PASS</x:v>
      </x:c>
      <x:c r="I5" s="22" t="str"/>
    </x:row>
    <x:row r="6" ht="26.399999618530273" hidden="0" customHeight="1">
      <x:c r="A6" s="22" t="str">
        <x:v>maximum_measurable_vdc_v</x:v>
      </x:c>
      <x:c r="B6" s="22" t="str">
        <x:v>Maximum measurable VDC before ADC full scale</x:v>
      </x:c>
      <x:c r="C6" s="22" t="n">
        <x:v>1164.5454545454545</x:v>
      </x:c>
      <x:c r="D6" s="22" t="str">
        <x:v>V</x:v>
      </x:c>
      <x:c r="E6" s="22" t="str">
        <x:v>Vadc_fs/Ksensor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vdc_per_code_v</x:v>
      </x:c>
      <x:c r="B7" s="22" t="str">
        <x:v>VDC resolution</x:v>
      </x:c>
      <x:c r="C7" s="22" t="n">
        <x:v>0.28431285511363635</x:v>
      </x:c>
      <x:c r="D7" s="22" t="str">
        <x:v>V/code</x:v>
      </x:c>
      <x:c r="E7" s="22" t="str">
        <x:v>Vlsb/Ksensor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adc_utilization</x:v>
      </x:c>
      <x:c r="B8" s="22" t="str">
        <x:v>ADC utilization at VDC design maximum</x:v>
      </x:c>
      <x:c r="C8" s="22" t="n">
        <x:v>0.4147540983606557</x:v>
      </x:c>
      <x:c r="D8" s="22" t="str">
        <x:v>pu</x:v>
      </x:c>
      <x:c r="E8" s="22" t="str"/>
      <x:c r="F8" s="22" t="str"/>
      <x:c r="G8" s="22" t="str">
        <x:v>calculated</x:v>
      </x:c>
      <x:c r="H8" s="22" t="str">
        <x:v>PASS</x:v>
      </x:c>
      <x:c r="I8" s="22" t="str"/>
    </x:row>
  </x:sheetData>
  <x:conditionalFormatting sqref="H2:H8">
    <x:cfRule type="expression" dxfId="56" priority="1">
      <x:formula>H2="PASS"</x:formula>
    </x:cfRule>
    <x:cfRule type="expression" dxfId="57" priority="2">
      <x:formula>H2="WARNING"</x:formula>
    </x:cfRule>
    <x:cfRule type="expression" dxfId="58" priority="3">
      <x:formula>H2="FAIL"</x:formula>
    </x:cfRule>
    <x:cfRule type="expression" dxfId="5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5d78921b8b4c3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6786.123015899687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6786.123015899687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FAIL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10000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0.9592091848328073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16.421251669078007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FAIL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-26.89827037859558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60" priority="1">
      <x:formula>H2="PASS"</x:formula>
    </x:cfRule>
    <x:cfRule type="expression" dxfId="61" priority="2">
      <x:formula>H2="WARNING"</x:formula>
    </x:cfRule>
    <x:cfRule type="expression" dxfId="62" priority="3">
      <x:formula>H2="FAIL"</x:formula>
    </x:cfRule>
    <x:cfRule type="expression" dxfId="6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d6a9d8010d4f1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rc_cutoff_hz</x:v>
      </x:c>
      <x:c r="B2" s="22" t="str">
        <x:v>RC cutoff frequency</x:v>
      </x:c>
      <x:c r="C2" s="22" t="n">
        <x:v>6786.123015899687</x:v>
      </x:c>
      <x:c r="D2" s="22" t="str">
        <x:v>Hz</x:v>
      </x:c>
      <x:c r="E2" s="22" t="str">
        <x:v>1/(2*pi*R*C)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effective_bandwidth_hz</x:v>
      </x:c>
      <x:c r="B3" s="22" t="str">
        <x:v>Effective analog bandwidth</x:v>
      </x:c>
      <x:c r="C3" s="22" t="n">
        <x:v>6786.123015899687</x:v>
      </x:c>
      <x:c r="D3" s="22" t="str">
        <x:v>Hz</x:v>
      </x:c>
      <x:c r="E3" s="22" t="str">
        <x:v>min(RC cutoff, sensor bandwidth)</x:v>
      </x:c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required_bandwidth_hz</x:v>
      </x:c>
      <x:c r="B4" s="22" t="str">
        <x:v>Minimum required bandwidth</x:v>
      </x:c>
      <x:c r="C4" s="22" t="n">
        <x:v>228.60104605522685</x:v>
      </x:c>
      <x:c r="D4" s="22" t="str">
        <x:v>Hz</x:v>
      </x:c>
      <x:c r="E4" s="22" t="str">
        <x:v>max(Kbw*floop, floop/tan(phi_budget))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loop_gain_ratio</x:v>
      </x:c>
      <x:c r="B5" s="22" t="str">
        <x:v>Magnitude at loop crossover</x:v>
      </x:c>
      <x:c r="C5" s="22" t="n">
        <x:v>0.9999956570611909</x:v>
      </x:c>
      <x:c r="D5" s="22" t="str">
        <x:v>pu</x:v>
      </x:c>
      <x:c r="E5" s="22" t="str">
        <x:v>1/sqrt(1+(floop/fc)^2)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loop_phase_loss_deg</x:v>
      </x:c>
      <x:c r="B6" s="22" t="str">
        <x:v>Analog phase loss at crossover</x:v>
      </x:c>
      <x:c r="C6" s="22" t="n">
        <x:v>0.16886111109563232</x:v>
      </x:c>
      <x:c r="D6" s="22" t="str">
        <x:v>deg</x:v>
      </x:c>
      <x:c r="E6" s="22" t="str">
        <x:v>atan(floop/fc)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switching_attenuation_db</x:v>
      </x:c>
      <x:c r="B7" s="22" t="str">
        <x:v>Attenuation at switching frequency</x:v>
      </x:c>
      <x:c r="C7" s="22" t="n">
        <x:v>-26.89827037859558</x:v>
      </x:c>
      <x:c r="D7" s="22" t="str">
        <x:v>dB</x:v>
      </x:c>
      <x:c r="E7" s="22" t="str">
        <x:v>-10*log10(1+(fsw/fc)^2)</x:v>
      </x:c>
      <x:c r="F7" s="22" t="str"/>
      <x:c r="G7" s="22" t="str">
        <x:v>calculated</x:v>
      </x:c>
      <x:c r="H7" s="22" t="str">
        <x:v>PASS</x:v>
      </x:c>
      <x:c r="I7" s="22" t="str"/>
    </x:row>
  </x:sheetData>
  <x:conditionalFormatting sqref="H2:H7">
    <x:cfRule type="expression" dxfId="64" priority="1">
      <x:formula>H2="PASS"</x:formula>
    </x:cfRule>
    <x:cfRule type="expression" dxfId="65" priority="2">
      <x:formula>H2="WARNING"</x:formula>
    </x:cfRule>
    <x:cfRule type="expression" dxfId="66" priority="3">
      <x:formula>H2="FAIL"</x:formula>
    </x:cfRule>
    <x:cfRule type="expression" dxfId="6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05e5e193524e7a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adc_lsb_v</x:v>
      </x:c>
      <x:c r="B2" s="22" t="str">
        <x:v>ADC voltage LSB</x:v>
      </x:c>
      <x:c r="C2" s="22" t="n">
        <x:v>0.000732421875</x:v>
      </x:c>
      <x:c r="D2" s="22" t="str">
        <x:v>V/code</x:v>
      </x:c>
      <x:c r="E2" s="22" t="str">
        <x:v>Vref/2^N</x:v>
      </x:c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configured_sample_cycles</x:v>
      </x:c>
      <x:c r="B3" s="22" t="str">
        <x:v>Configured sample window</x:v>
      </x:c>
      <x:c r="C3" s="22" t="n">
        <x:v>20</x:v>
      </x:c>
      <x:c r="D3" s="22" t="str">
        <x:v>SYSCLK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configured_sample_time_s</x:v>
      </x:c>
      <x:c r="B4" s="22" t="str">
        <x:v>Configured sample time</x:v>
      </x:c>
      <x:c r="C4" s="22" t="n">
        <x:v>1e-7</x:v>
      </x:c>
      <x:c r="D4" s="22" t="str">
        <x:v>s</x:v>
      </x:c>
      <x:c r="E4" s="22" t="str">
        <x:v>cycles/fsysclk</x:v>
      </x:c>
      <x:c r="F4" s="22" t="str"/>
      <x:c r="G4" s="22" t="str">
        <x:v>calculated</x:v>
      </x:c>
      <x:c r="H4" s="22" t="str">
        <x:v>PASS</x:v>
      </x:c>
      <x:c r="I4" s="22" t="str"/>
    </x:row>
    <x:row r="5" ht="15" hidden="0" customHeight="1">
      <x:c r="A5" s="22" t="str">
        <x:v>simplified_tau_s</x:v>
      </x:c>
      <x:c r="B5" s="22" t="str">
        <x:v>Simplified RC time constant</x:v>
      </x:c>
      <x:c r="C5" s="22" t="n">
        <x:v>3e-9</x:v>
      </x:c>
      <x:c r="D5" s="22" t="str">
        <x:v>s</x:v>
      </x:c>
      <x:c r="E5" s="22" t="str">
        <x:v>Rsource*Ctotal</x:v>
      </x:c>
      <x:c r="F5" s="22" t="str"/>
      <x:c r="G5" s="22" t="str">
        <x:v>calculated</x:v>
      </x:c>
      <x:c r="H5" s="22" t="str">
        <x:v>PASS</x:v>
      </x:c>
      <x:c r="I5" s="22" t="str"/>
    </x:row>
    <x:row r="6" ht="15" hidden="0" customHeight="1">
      <x:c r="A6" s="22" t="str">
        <x:v>simplified_required_time_s</x:v>
      </x:c>
      <x:c r="B6" s="22" t="str">
        <x:v>Simplified required acquisition time</x:v>
      </x:c>
      <x:c r="C6" s="22" t="n">
        <x:v>2.7032740041837863e-8</x:v>
      </x:c>
      <x:c r="D6" s="22" t="str">
        <x:v>s</x:v>
      </x:c>
      <x:c r="E6" s="22" t="str">
        <x:v>-tau*ln(target_lsb/2^N)</x:v>
      </x:c>
      <x:c r="F6" s="22" t="str"/>
      <x:c r="G6" s="22" t="str">
        <x:v>calculated</x:v>
      </x:c>
      <x:c r="H6" s="22" t="str">
        <x:v>PASS</x:v>
      </x:c>
      <x:c r="I6" s="22" t="str"/>
    </x:row>
    <x:row r="7" ht="15" hidden="0" customHeight="1">
      <x:c r="A7" s="22" t="str">
        <x:v>simplified_recommended_time_s</x:v>
      </x:c>
      <x:c r="B7" s="22" t="str">
        <x:v>Simplified recommended acquisition time</x:v>
      </x:c>
      <x:c r="C7" s="22" t="n">
        <x:v>4.0549110062756793e-8</x:v>
      </x:c>
      <x:c r="D7" s="22" t="str">
        <x:v>s</x:v>
      </x:c>
      <x:c r="E7" s="22" t="str">
        <x:v>treq*Ksafety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simplified_recommended_cycles</x:v>
      </x:c>
      <x:c r="B8" s="22" t="str">
        <x:v>Simplified recommended sample window</x:v>
      </x:c>
      <x:c r="C8" s="22" t="n">
        <x:v>9</x:v>
      </x:c>
      <x:c r="D8" s="22" t="str">
        <x:v>SYSCLK</x:v>
      </x:c>
      <x:c r="E8" s="22" t="str">
        <x:v>ceil(trec*fsysclk)</x:v>
      </x:c>
      <x:c r="F8" s="22" t="str"/>
      <x:c r="G8" s="22" t="str">
        <x:v>calculated</x:v>
      </x:c>
      <x:c r="H8" s="22" t="str">
        <x:v>PASS</x:v>
      </x:c>
      <x:c r="I8" s="22" t="str"/>
    </x:row>
    <x:row r="9" ht="52.79999923706055" hidden="0" customHeight="1">
      <x:c r="A9" s="22" t="str">
        <x:v>exact_recommended_cycles</x:v>
      </x:c>
      <x:c r="B9" s="22" t="str">
        <x:v>Exact-model recommended sample window</x:v>
      </x:c>
      <x:c r="C9" s="22"/>
      <x:c r="D9" s="22" t="str">
        <x:v>SYSCLK</x:v>
      </x:c>
      <x:c r="E9" s="22" t="str"/>
      <x:c r="F9" s="22" t="str"/>
      <x:c r="G9" s="22" t="str">
        <x:v>missing device parameters</x:v>
      </x:c>
      <x:c r="H9" s="22" t="str">
        <x:v>NOT_EVALUATED</x:v>
      </x:c>
      <x:c r="I9" s="22" t="str">
        <x:v>Enter F29H85x sample capacitor and switch resistance from the applicable data sheet/model.</x:v>
      </x:c>
    </x:row>
  </x:sheetData>
  <x:conditionalFormatting sqref="H2:H9">
    <x:cfRule type="expression" dxfId="68" priority="1">
      <x:formula>H2="PASS"</x:formula>
    </x:cfRule>
    <x:cfRule type="expression" dxfId="69" priority="2">
      <x:formula>H2="WARNING"</x:formula>
    </x:cfRule>
    <x:cfRule type="expression" dxfId="70" priority="3">
      <x:formula>H2="FAIL"</x:formula>
    </x:cfRule>
    <x:cfRule type="expression" dxfId="7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dd272cf3fa43b8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 t="n">
        <x:v>5e-8</x:v>
      </x:c>
      <x:c r="D2" s="22" t="str">
        <x:v>s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 t="n">
        <x:v>0</x:v>
      </x:c>
      <x:c r="D3" s="22" t="str">
        <x:v>s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5e-8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0.054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72" priority="1">
      <x:formula>H2="PASS"</x:formula>
    </x:cfRule>
    <x:cfRule type="expression" dxfId="73" priority="2">
      <x:formula>H2="WARNING"</x:formula>
    </x:cfRule>
    <x:cfRule type="expression" dxfId="74" priority="3">
      <x:formula>H2="FAIL"</x:formula>
    </x:cfRule>
    <x:cfRule type="expression" dxfId="7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5a47b047914932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 t="n">
        <x:v>0</x:v>
      </x:c>
      <x:c r="D2" s="22" t="str">
        <x:v>s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/>
      <x:c r="D3" s="22" t="str">
        <x:v>s</x:v>
      </x:c>
      <x:c r="E3" s="22" t="str"/>
      <x:c r="F3" s="22" t="str"/>
      <x:c r="G3" s="22" t="str">
        <x:v>calculated</x:v>
      </x:c>
      <x:c r="H3" s="22" t="str">
        <x:v>NOT_EVALUATED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0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76" priority="1">
      <x:formula>H2="PASS"</x:formula>
    </x:cfRule>
    <x:cfRule type="expression" dxfId="77" priority="2">
      <x:formula>H2="WARNING"</x:formula>
    </x:cfRule>
    <x:cfRule type="expression" dxfId="78" priority="3">
      <x:formula>H2="FAIL"</x:formula>
    </x:cfRule>
    <x:cfRule type="expression" dxfId="7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5c0ee318b14890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 t="n">
        <x:v>0</x:v>
      </x:c>
      <x:c r="D2" s="22" t="str">
        <x:v>s</x:v>
      </x:c>
      <x:c r="E2" s="22" t="str"/>
      <x:c r="F2" s="22" t="str"/>
      <x:c r="G2" s="22" t="str">
        <x:v>calculated</x:v>
      </x:c>
      <x:c r="H2" s="22" t="str">
        <x:v>PASS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 t="n">
        <x:v>0.0000029</x:v>
      </x:c>
      <x:c r="D3" s="22" t="str">
        <x:v>s</x:v>
      </x:c>
      <x:c r="E3" s="22" t="str"/>
      <x:c r="F3" s="22" t="str"/>
      <x:c r="G3" s="22" t="str">
        <x:v>calculated</x:v>
      </x:c>
      <x:c r="H3" s="22" t="str">
        <x:v>PASS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0.0000029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0.03132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80" priority="1">
      <x:formula>H2="PASS"</x:formula>
    </x:cfRule>
    <x:cfRule type="expression" dxfId="81" priority="2">
      <x:formula>H2="WARNING"</x:formula>
    </x:cfRule>
    <x:cfRule type="expression" dxfId="82" priority="3">
      <x:formula>H2="FAIL"</x:formula>
    </x:cfRule>
    <x:cfRule type="expression" dxfId="8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5da18ad05d4082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sensor_delay_s</x:v>
      </x:c>
      <x:c r="B2" s="22" t="str">
        <x:v>Sensor delay</x:v>
      </x:c>
      <x:c r="C2" s="22"/>
      <x:c r="D2" s="22" t="str">
        <x:v>s</x:v>
      </x:c>
      <x:c r="E2" s="22" t="str"/>
      <x:c r="F2" s="22" t="str"/>
      <x:c r="G2" s="22" t="str">
        <x:v>calculated</x:v>
      </x:c>
      <x:c r="H2" s="22" t="str">
        <x:v>NOT_EVALUATED</x:v>
      </x:c>
      <x:c r="I2" s="22" t="str"/>
    </x:row>
    <x:row r="3" ht="15" hidden="0" customHeight="1">
      <x:c r="A3" s="22" t="str">
        <x:v>isolation_delay_s</x:v>
      </x:c>
      <x:c r="B3" s="22" t="str">
        <x:v>Isolation delay</x:v>
      </x:c>
      <x:c r="C3" s="22"/>
      <x:c r="D3" s="22" t="str">
        <x:v>s</x:v>
      </x:c>
      <x:c r="E3" s="22" t="str"/>
      <x:c r="F3" s="22" t="str"/>
      <x:c r="G3" s="22" t="str">
        <x:v>calculated</x:v>
      </x:c>
      <x:c r="H3" s="22" t="str">
        <x:v>NOT_EVALUATED</x:v>
      </x:c>
      <x:c r="I3" s="22" t="str"/>
    </x:row>
    <x:row r="4" ht="15" hidden="0" customHeight="1">
      <x:c r="A4" s="22" t="str">
        <x:v>adc_delay_s</x:v>
      </x:c>
      <x:c r="B4" s="22" t="str">
        <x:v>Adc delay</x:v>
      </x:c>
      <x:c r="C4" s="22"/>
      <x:c r="D4" s="22" t="str">
        <x:v>s</x:v>
      </x:c>
      <x:c r="E4" s="22" t="str"/>
      <x:c r="F4" s="22" t="str"/>
      <x:c r="G4" s="22" t="str">
        <x:v>calculated</x:v>
      </x:c>
      <x:c r="H4" s="22" t="str">
        <x:v>NOT_EVALUATED</x:v>
      </x:c>
      <x:c r="I4" s="22" t="str"/>
    </x:row>
    <x:row r="5" ht="15" hidden="0" customHeight="1">
      <x:c r="A5" s="22" t="str">
        <x:v>isr_delay_s</x:v>
      </x:c>
      <x:c r="B5" s="22" t="str">
        <x:v>Isr delay</x:v>
      </x:c>
      <x:c r="C5" s="22"/>
      <x:c r="D5" s="22" t="str">
        <x:v>s</x:v>
      </x:c>
      <x:c r="E5" s="22" t="str"/>
      <x:c r="F5" s="22" t="str"/>
      <x:c r="G5" s="22" t="str">
        <x:v>calculated</x:v>
      </x:c>
      <x:c r="H5" s="22" t="str">
        <x:v>NOT_EVALUATED</x:v>
      </x:c>
      <x:c r="I5" s="22" t="str"/>
    </x:row>
    <x:row r="6" ht="15" hidden="0" customHeight="1">
      <x:c r="A6" s="22" t="str">
        <x:v>pwm_delay_s</x:v>
      </x:c>
      <x:c r="B6" s="22" t="str">
        <x:v>Pwm delay</x:v>
      </x:c>
      <x:c r="C6" s="22"/>
      <x:c r="D6" s="22" t="str">
        <x:v>s</x:v>
      </x:c>
      <x:c r="E6" s="22" t="str"/>
      <x:c r="F6" s="22" t="str"/>
      <x:c r="G6" s="22" t="str">
        <x:v>calculated</x:v>
      </x:c>
      <x:c r="H6" s="22" t="str">
        <x:v>NOT_EVALUATED</x:v>
      </x:c>
      <x:c r="I6" s="22" t="str"/>
    </x:row>
    <x:row r="7" ht="15" hidden="0" customHeight="1">
      <x:c r="A7" s="22" t="str">
        <x:v>known_delay_total_s</x:v>
      </x:c>
      <x:c r="B7" s="22" t="str">
        <x:v>Known pure-delay total</x:v>
      </x:c>
      <x:c r="C7" s="22" t="n">
        <x:v>0</x:v>
      </x:c>
      <x:c r="D7" s="22" t="str">
        <x:v>s</x:v>
      </x:c>
      <x:c r="E7" s="22" t="str">
        <x:v>sum(known delays)</x:v>
      </x:c>
      <x:c r="F7" s="22" t="str"/>
      <x:c r="G7" s="22" t="str">
        <x:v>calculated</x:v>
      </x:c>
      <x:c r="H7" s="22" t="str">
        <x:v>PASS</x:v>
      </x:c>
      <x:c r="I7" s="22" t="str"/>
    </x:row>
    <x:row r="8" ht="15" hidden="0" customHeight="1">
      <x:c r="A8" s="22" t="str">
        <x:v>known_delay_phase_deg</x:v>
      </x:c>
      <x:c r="B8" s="22" t="str">
        <x:v>Known pure-delay phase loss</x:v>
      </x:c>
      <x:c r="C8" s="22" t="n">
        <x:v>0</x:v>
      </x:c>
      <x:c r="D8" s="22" t="str">
        <x:v>deg</x:v>
      </x:c>
      <x:c r="E8" s="22" t="str">
        <x:v>360*floop*Tdelay</x:v>
      </x:c>
      <x:c r="F8" s="22" t="str"/>
      <x:c r="G8" s="22" t="str">
        <x:v>calculated</x:v>
      </x:c>
      <x:c r="H8" s="22" t="str">
        <x:v>NOT_EVALUATED</x:v>
      </x:c>
      <x:c r="I8" s="22" t="str"/>
    </x:row>
  </x:sheetData>
  <x:conditionalFormatting sqref="H2:H8">
    <x:cfRule type="expression" dxfId="84" priority="1">
      <x:formula>H2="PASS"</x:formula>
    </x:cfRule>
    <x:cfRule type="expression" dxfId="85" priority="2">
      <x:formula>H2="WARNING"</x:formula>
    </x:cfRule>
    <x:cfRule type="expression" dxfId="86" priority="3">
      <x:formula>H2="FAIL"</x:formula>
    </x:cfRule>
    <x:cfRule type="expression" dxfId="87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b17a73b705410f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88" priority="1">
      <x:formula>H2="PASS"</x:formula>
    </x:cfRule>
    <x:cfRule type="expression" dxfId="89" priority="2">
      <x:formula>H2="WARNING"</x:formula>
    </x:cfRule>
    <x:cfRule type="expression" dxfId="90" priority="3">
      <x:formula>H2="FAIL"</x:formula>
    </x:cfRule>
    <x:cfRule type="expression" dxfId="91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327b618dce4dfb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92" priority="1">
      <x:formula>H2="PASS"</x:formula>
    </x:cfRule>
    <x:cfRule type="expression" dxfId="93" priority="2">
      <x:formula>H2="WARNING"</x:formula>
    </x:cfRule>
    <x:cfRule type="expression" dxfId="94" priority="3">
      <x:formula>H2="FAIL"</x:formula>
    </x:cfRule>
    <x:cfRule type="expression" dxfId="95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e89c4a58474f95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96" priority="1">
      <x:formula>H2="PASS"</x:formula>
    </x:cfRule>
    <x:cfRule type="expression" dxfId="97" priority="2">
      <x:formula>H2="WARNING"</x:formula>
    </x:cfRule>
    <x:cfRule type="expression" dxfId="98" priority="3">
      <x:formula>H2="FAIL"</x:formula>
    </x:cfRule>
    <x:cfRule type="expression" dxfId="99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c3de959a504aa5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12" t="str">
        <x:v>Key</x:v>
      </x:c>
      <x:c r="B1" s="12" t="str">
        <x:v>Metric</x:v>
      </x:c>
      <x:c r="C1" s="12" t="str">
        <x:v>Value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15" hidden="0" customHeight="1">
      <x:c r="A2" s="22" t="str">
        <x:v>wc_percent_fs</x:v>
      </x:c>
      <x:c r="B2" s="22" t="str">
        <x:v>Worst-case total error</x:v>
      </x:c>
      <x:c r="C2" s="22"/>
      <x:c r="D2" s="22" t="str">
        <x:v>%FS</x:v>
      </x:c>
      <x:c r="E2" s="22" t="str"/>
      <x:c r="F2" s="22" t="str"/>
      <x:c r="G2" s="22" t="str">
        <x:v>missing error sources</x:v>
      </x:c>
      <x:c r="H2" s="22" t="str">
        <x:v>NOT_EVALUATED</x:v>
      </x:c>
      <x:c r="I2" s="22" t="str"/>
    </x:row>
    <x:row r="3" ht="15" hidden="0" customHeight="1">
      <x:c r="A3" s="22" t="str">
        <x:v>rss_percent_fs</x:v>
      </x:c>
      <x:c r="B3" s="22" t="str">
        <x:v>RSS total error</x:v>
      </x:c>
      <x:c r="C3" s="22"/>
      <x:c r="D3" s="22" t="str">
        <x:v>%FS</x:v>
      </x:c>
      <x:c r="E3" s="22" t="str"/>
      <x:c r="F3" s="22" t="str"/>
      <x:c r="G3" s="22" t="str">
        <x:v>missing error sources</x:v>
      </x:c>
      <x:c r="H3" s="22" t="str">
        <x:v>NOT_EVALUATED</x:v>
      </x:c>
      <x:c r="I3" s="22" t="str"/>
    </x:row>
  </x:sheetData>
  <x:conditionalFormatting sqref="H2:H3">
    <x:cfRule type="expression" dxfId="100" priority="1">
      <x:formula>H2="PASS"</x:formula>
    </x:cfRule>
    <x:cfRule type="expression" dxfId="101" priority="2">
      <x:formula>H2="WARNING"</x:formula>
    </x:cfRule>
    <x:cfRule type="expression" dxfId="102" priority="3">
      <x:formula>H2="FAIL"</x:formula>
    </x:cfRule>
    <x:cfRule type="expression" dxfId="103" priority="4">
      <x:formula>H2="NOT_EVALUATED"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1c9c61ad44454d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5" max="5" width="38" hidden="0" customWidth="1"/>
    <x:col min="6" max="6" width="38" hidden="0" customWidth="1"/>
    <x:col min="9" max="9" width="32" hidden="0" customWidth="1"/>
  </x:cols>
  <x:sheetData>
    <x:row r="1" ht="15" hidden="0" customHeight="1">
      <x:c r="A1" s="12" t="str">
        <x:v>Section</x:v>
      </x:c>
      <x:c r="B1" s="12" t="str">
        <x:v>Key</x:v>
      </x:c>
      <x:c r="C1" s="12" t="str">
        <x:v>Result</x:v>
      </x:c>
      <x:c r="D1" s="12" t="str">
        <x:v>Unit</x:v>
      </x:c>
      <x:c r="E1" s="12" t="str">
        <x:v>Formula</x:v>
      </x:c>
      <x:c r="F1" s="12" t="str">
        <x:v>Inputs</x:v>
      </x:c>
      <x:c r="G1" s="12" t="str">
        <x:v>Source</x:v>
      </x:c>
      <x:c r="H1" s="12" t="str">
        <x:v>Status</x:v>
      </x:c>
      <x:c r="I1" s="12" t="str">
        <x:v>Note</x:v>
      </x:c>
    </x:row>
    <x:row r="2" ht="39.599998474121094" hidden="0" customHeight="1">
      <x:c r="A2" s="22" t="str">
        <x:v>02_GBT_Compliance</x:v>
      </x:c>
      <x:c r="B2" s="22" t="str">
        <x:v>standard_name</x:v>
      </x:c>
      <x:c r="C2" s="22" t="str">
        <x:v>GB/T 40432-2021</x:v>
      </x:c>
      <x:c r="D2" s="22" t="str"/>
      <x:c r="E2" s="22" t="str"/>
      <x:c r="F2" s="22" t="str"/>
      <x:c r="G2" s="22" t="str">
        <x:v>configuration</x:v>
      </x:c>
      <x:c r="H2" s="22" t="str">
        <x:v>PASS</x:v>
      </x:c>
      <x:c r="I2" s="22" t="str"/>
    </x:row>
    <x:row r="3" ht="26.399999618530273" hidden="0" customHeight="1">
      <x:c r="A3" s="22" t="str">
        <x:v>02_GBT_Compliance</x:v>
      </x:c>
      <x:c r="B3" s="22" t="str">
        <x:v>standard_scope_phase</x:v>
      </x:c>
      <x:c r="C3" s="22" t="n">
        <x:v>1</x:v>
      </x:c>
      <x:c r="D3" s="22" t="str">
        <x:v>phase</x:v>
      </x:c>
      <x:c r="E3" s="22" t="str"/>
      <x:c r="F3" s="22" t="str"/>
      <x:c r="G3" s="22" t="str">
        <x:v>configuration</x:v>
      </x:c>
      <x:c r="H3" s="22" t="str">
        <x:v>PASS</x:v>
      </x:c>
      <x:c r="I3" s="22" t="str"/>
    </x:row>
    <x:row r="4" ht="52.79999923706055" hidden="0" customHeight="1">
      <x:c r="A4" s="22" t="str">
        <x:v>02_GBT_Compliance</x:v>
      </x:c>
      <x:c r="B4" s="22" t="str">
        <x:v>standard_ac_basis</x:v>
      </x:c>
      <x:c r="C4" s="22" t="str">
        <x:v>single-phase RMS</x:v>
      </x:c>
      <x:c r="D4" s="22" t="str"/>
      <x:c r="E4" s="22" t="str"/>
      <x:c r="F4" s="22" t="str"/>
      <x:c r="G4" s="22" t="str">
        <x:v>calculated from GB/T 40432—2021 §4.2.1</x:v>
      </x:c>
      <x:c r="H4" s="22" t="str">
        <x:v>PASS</x:v>
      </x:c>
      <x:c r="I4" s="22" t="str"/>
    </x:row>
    <x:row r="5" ht="39.599998474121094" hidden="0" customHeight="1">
      <x:c r="A5" s="22" t="str">
        <x:v>02_GBT_Compliance</x:v>
      </x:c>
      <x:c r="B5" s="22" t="str">
        <x:v>standard_max_dc_output_v</x:v>
      </x:c>
      <x:c r="C5" s="22" t="n">
        <x:v>1500</x:v>
      </x:c>
      <x:c r="D5" s="22" t="str">
        <x:v>V</x:v>
      </x:c>
      <x:c r="E5" s="22" t="str"/>
      <x:c r="F5" s="22" t="str"/>
      <x:c r="G5" s="22" t="str">
        <x:v>GB/T 40432—2021 §1</x:v>
      </x:c>
      <x:c r="H5" s="22" t="str">
        <x:v>PASS</x:v>
      </x:c>
      <x:c r="I5" s="22" t="str"/>
    </x:row>
    <x:row r="6" ht="39.599998474121094" hidden="0" customHeight="1">
      <x:c r="A6" s="22" t="str">
        <x:v>02_GBT_Compliance</x:v>
      </x:c>
      <x:c r="B6" s="22" t="str">
        <x:v>configured_vdc_max_v</x:v>
      </x:c>
      <x:c r="C6" s="22" t="n">
        <x:v>420</x:v>
      </x:c>
      <x:c r="D6" s="22" t="str">
        <x:v>V</x:v>
      </x:c>
      <x:c r="E6" s="22" t="str"/>
      <x:c r="F6" s="22" t="str"/>
      <x:c r="G6" s="22" t="str">
        <x:v>system configuration</x:v>
      </x:c>
      <x:c r="H6" s="22" t="str">
        <x:v>PASS</x:v>
      </x:c>
      <x:c r="I6" s="22" t="str"/>
    </x:row>
    <x:row r="7" ht="52.79999923706055" hidden="0" customHeight="1">
      <x:c r="A7" s="22" t="str">
        <x:v>02_GBT_Compliance</x:v>
      </x:c>
      <x:c r="B7" s="22" t="str">
        <x:v>standard_ac_nominal_v</x:v>
      </x:c>
      <x:c r="C7" s="22" t="n">
        <x:v>220</x:v>
      </x:c>
      <x:c r="D7" s="22" t="str">
        <x:v>V RMS</x:v>
      </x:c>
      <x:c r="E7" s="22" t="str"/>
      <x:c r="F7" s="22" t="str"/>
      <x:c r="G7" s="22" t="str">
        <x:v>GB/T 40432—2021 Table 1</x:v>
      </x:c>
      <x:c r="H7" s="22" t="str">
        <x:v>PASS</x:v>
      </x:c>
      <x:c r="I7" s="22" t="str"/>
    </x:row>
    <x:row r="8" ht="39.599998474121094" hidden="0" customHeight="1">
      <x:c r="A8" s="22" t="str">
        <x:v>02_GBT_Compliance</x:v>
      </x:c>
      <x:c r="B8" s="22" t="str">
        <x:v>configured_ac_nominal_v</x:v>
      </x:c>
      <x:c r="C8" s="22" t="n">
        <x:v>230</x:v>
      </x:c>
      <x:c r="D8" s="22" t="str">
        <x:v>V RMS</x:v>
      </x:c>
      <x:c r="E8" s="22" t="str"/>
      <x:c r="F8" s="22" t="str"/>
      <x:c r="G8" s="22" t="str">
        <x:v>system configuration</x:v>
      </x:c>
      <x:c r="H8" s="22" t="str">
        <x:v>WARNING</x:v>
      </x:c>
      <x:c r="I8" s="22" t="str"/>
    </x:row>
    <x:row r="9" ht="39.599998474121094" hidden="0" customHeight="1">
      <x:c r="A9" s="22" t="str">
        <x:v>02_GBT_Compliance</x:v>
      </x:c>
      <x:c r="B9" s="22" t="str">
        <x:v>nominal_voltage_difference_percent</x:v>
      </x:c>
      <x:c r="C9" s="22" t="n">
        <x:v>4.545454545454546</x:v>
      </x:c>
      <x:c r="D9" s="22" t="str">
        <x:v>%</x:v>
      </x:c>
      <x:c r="E9" s="22" t="str">
        <x:v>abs(Vproduct-Vstd)/Vstd*100</x:v>
      </x:c>
      <x:c r="F9" s="22" t="str"/>
      <x:c r="G9" s="22" t="str">
        <x:v>GB/T 40432—2021</x:v>
      </x:c>
      <x:c r="H9" s="22" t="str">
        <x:v>WARNING</x:v>
      </x:c>
      <x:c r="I9" s="22" t="str"/>
    </x:row>
    <x:row r="10" ht="66" hidden="0" customHeight="1">
      <x:c r="A10" s="22" t="str">
        <x:v>02_GBT_Compliance</x:v>
      </x:c>
      <x:c r="B10" s="22" t="str">
        <x:v>gbt_ac_test_min_v</x:v>
      </x:c>
      <x:c r="C10" s="22" t="n">
        <x:v>187</x:v>
      </x:c>
      <x:c r="D10" s="22" t="str">
        <x:v>V RMS</x:v>
      </x:c>
      <x:c r="E10" s="22" t="str">
        <x:v>Vnom*(1-15%)</x:v>
      </x:c>
      <x:c r="F10" s="22" t="str"/>
      <x:c r="G10" s="22" t="str">
        <x:v>GB/T 40432—2021 §4.2.1.2/§5.3.2.1</x:v>
      </x:c>
      <x:c r="H10" s="22" t="str">
        <x:v>PASS</x:v>
      </x:c>
      <x:c r="I10" s="22" t="str"/>
    </x:row>
    <x:row r="11" ht="66" hidden="0" customHeight="1">
      <x:c r="A11" s="22" t="str">
        <x:v>02_GBT_Compliance</x:v>
      </x:c>
      <x:c r="B11" s="22" t="str">
        <x:v>gbt_ac_test_max_v</x:v>
      </x:c>
      <x:c r="C11" s="22" t="n">
        <x:v>252.99999999999997</x:v>
      </x:c>
      <x:c r="D11" s="22" t="str">
        <x:v>V RMS</x:v>
      </x:c>
      <x:c r="E11" s="22" t="str">
        <x:v>Vnom*(1+15%)</x:v>
      </x:c>
      <x:c r="F11" s="22" t="str"/>
      <x:c r="G11" s="22" t="str">
        <x:v>GB/T 40432—2021 §4.2.1.2/§5.3.2.1</x:v>
      </x:c>
      <x:c r="H11" s="22" t="str">
        <x:v>PASS</x:v>
      </x:c>
      <x:c r="I11" s="22" t="str"/>
    </x:row>
    <x:row r="12" ht="39.599998474121094" hidden="0" customHeight="1">
      <x:c r="A12" s="22" t="str">
        <x:v>02_GBT_Compliance</x:v>
      </x:c>
      <x:c r="B12" s="22" t="str">
        <x:v>hardware_ac_min_v</x:v>
      </x:c>
      <x:c r="C12" s="22" t="n">
        <x:v>180</x:v>
      </x:c>
      <x:c r="D12" s="22" t="str">
        <x:v>V RMS</x:v>
      </x:c>
      <x:c r="E12" s="22" t="str"/>
      <x:c r="F12" s="22" t="str"/>
      <x:c r="G12" s="22" t="str">
        <x:v>system configuration</x:v>
      </x:c>
      <x:c r="H12" s="22" t="str">
        <x:v>PASS</x:v>
      </x:c>
      <x:c r="I12" s="22" t="str"/>
    </x:row>
    <x:row r="13" ht="39.599998474121094" hidden="0" customHeight="1">
      <x:c r="A13" s="22" t="str">
        <x:v>02_GBT_Compliance</x:v>
      </x:c>
      <x:c r="B13" s="22" t="str">
        <x:v>hardware_ac_max_v</x:v>
      </x:c>
      <x:c r="C13" s="22" t="n">
        <x:v>265</x:v>
      </x:c>
      <x:c r="D13" s="22" t="str">
        <x:v>V RMS</x:v>
      </x:c>
      <x:c r="E13" s="22" t="str"/>
      <x:c r="F13" s="22" t="str"/>
      <x:c r="G13" s="22" t="str">
        <x:v>system configuration</x:v>
      </x:c>
      <x:c r="H13" s="22" t="str">
        <x:v>PASS</x:v>
      </x:c>
      <x:c r="I13" s="22" t="str"/>
    </x:row>
    <x:row r="14" ht="52.79999923706055" hidden="0" customHeight="1">
      <x:c r="A14" s="22" t="str">
        <x:v>02_GBT_Compliance</x:v>
      </x:c>
      <x:c r="B14" s="22" t="str">
        <x:v>gbt_frequency_nominal_hz</x:v>
      </x:c>
      <x:c r="C14" s="22" t="n">
        <x:v>50</x:v>
      </x:c>
      <x:c r="D14" s="22" t="str">
        <x:v>Hz</x:v>
      </x:c>
      <x:c r="E14" s="22" t="str"/>
      <x:c r="F14" s="22" t="str"/>
      <x:c r="G14" s="22" t="str">
        <x:v>GB/T 40432—2021 Table 1</x:v>
      </x:c>
      <x:c r="H14" s="22" t="str">
        <x:v>PASS</x:v>
      </x:c>
      <x:c r="I14" s="22" t="str"/>
    </x:row>
    <x:row r="15" ht="66" hidden="0" customHeight="1">
      <x:c r="A15" s="22" t="str">
        <x:v>02_GBT_Compliance</x:v>
      </x:c>
      <x:c r="B15" s="22" t="str">
        <x:v>gbt_frequency_min_hz</x:v>
      </x:c>
      <x:c r="C15" s="22" t="n">
        <x:v>49</x:v>
      </x:c>
      <x:c r="D15" s="22" t="str">
        <x:v>Hz</x:v>
      </x:c>
      <x:c r="E15" s="22" t="str"/>
      <x:c r="F15" s="22" t="str"/>
      <x:c r="G15" s="22" t="str">
        <x:v>GB/T 40432—2021 §4.2.1.3/§5.3.2.2</x:v>
      </x:c>
      <x:c r="H15" s="22" t="str">
        <x:v>PASS</x:v>
      </x:c>
      <x:c r="I15" s="22" t="str"/>
    </x:row>
    <x:row r="16" ht="66" hidden="0" customHeight="1">
      <x:c r="A16" s="22" t="str">
        <x:v>02_GBT_Compliance</x:v>
      </x:c>
      <x:c r="B16" s="22" t="str">
        <x:v>gbt_frequency_max_hz</x:v>
      </x:c>
      <x:c r="C16" s="22" t="n">
        <x:v>51</x:v>
      </x:c>
      <x:c r="D16" s="22" t="str">
        <x:v>Hz</x:v>
      </x:c>
      <x:c r="E16" s="22" t="str"/>
      <x:c r="F16" s="22" t="str"/>
      <x:c r="G16" s="22" t="str">
        <x:v>GB/T 40432—2021 §4.2.1.3/§5.3.2.2</x:v>
      </x:c>
      <x:c r="H16" s="22" t="str">
        <x:v>PASS</x:v>
      </x:c>
      <x:c r="I16" s="22" t="str"/>
    </x:row>
    <x:row r="17" ht="39.599998474121094" hidden="0" customHeight="1">
      <x:c r="A17" s="22" t="str">
        <x:v>02_GBT_Compliance</x:v>
      </x:c>
      <x:c r="B17" s="22" t="str">
        <x:v>configured_line_frequency_hz</x:v>
      </x:c>
      <x:c r="C17" s="22" t="n">
        <x:v>50</x:v>
      </x:c>
      <x:c r="D17" s="22" t="str">
        <x:v>Hz</x:v>
      </x:c>
      <x:c r="E17" s="22" t="str"/>
      <x:c r="F17" s="22" t="str"/>
      <x:c r="G17" s="22" t="str">
        <x:v>control configuration</x:v>
      </x:c>
      <x:c r="H17" s="22" t="str">
        <x:v>PASS</x:v>
      </x:c>
      <x:c r="I17" s="22" t="str"/>
    </x:row>
    <x:row r="18" ht="39.599998474121094" hidden="0" customHeight="1">
      <x:c r="A18" s="22" t="str">
        <x:v>02_GBT_Compliance</x:v>
      </x:c>
      <x:c r="B18" s="22" t="str">
        <x:v>gbt_startup_inrush_ratio</x:v>
      </x:c>
      <x:c r="C18" s="22" t="n">
        <x:v>1.2</x:v>
      </x:c>
      <x:c r="D18" s="22" t="str">
        <x:v>pu</x:v>
      </x:c>
      <x:c r="E18" s="22" t="str"/>
      <x:c r="F18" s="22" t="str"/>
      <x:c r="G18" s="22" t="str">
        <x:v>GB/T 40432—2021 §4.2.2</x:v>
      </x:c>
      <x:c r="H18" s="22" t="str">
        <x:v>PASS</x:v>
      </x:c>
      <x:c r="I18" s="22" t="str"/>
    </x:row>
    <x:row r="19" ht="39.599998474121094" hidden="0" customHeight="1">
      <x:c r="A19" s="22" t="str">
        <x:v>02_GBT_Compliance</x:v>
      </x:c>
      <x:c r="B19" s="22" t="str">
        <x:v>gbt_required_iac_linear_peak_a</x:v>
      </x:c>
      <x:c r="C19" s="22" t="n">
        <x:v>25.061378032484406</x:v>
      </x:c>
      <x:c r="D19" s="22" t="str">
        <x:v>A peak</x:v>
      </x:c>
      <x:c r="E19" s="22" t="str">
        <x:v>Isteady_peak*1.20</x:v>
      </x:c>
      <x:c r="F19" s="22" t="str"/>
      <x:c r="G19" s="22" t="str">
        <x:v>GB/T 40432—2021</x:v>
      </x:c>
      <x:c r="H19" s="22" t="str">
        <x:v>PASS</x:v>
      </x:c>
      <x:c r="I19" s="22" t="str"/>
    </x:row>
    <x:row r="20" ht="52.79999923706055" hidden="0" customHeight="1">
      <x:c r="A20" s="22" t="str">
        <x:v>02_GBT_Compliance</x:v>
      </x:c>
      <x:c r="B20" s="22" t="str">
        <x:v>configured_iac_design_peak_a</x:v>
      </x:c>
      <x:c r="C20" s="22" t="n">
        <x:v>27.56751583573285</x:v>
      </x:c>
      <x:c r="D20" s="22" t="str">
        <x:v>A peak</x:v>
      </x:c>
      <x:c r="E20" s="22" t="str"/>
      <x:c r="F20" s="22" t="str"/>
      <x:c r="G20" s="22" t="str">
        <x:v>system-rating calculation</x:v>
      </x:c>
      <x:c r="H20" s="22" t="str">
        <x:v>PASS</x:v>
      </x:c>
      <x:c r="I20" s="22" t="str"/>
    </x:row>
    <x:row r="21" ht="39.599998474121094" hidden="0" customHeight="1">
      <x:c r="A21" s="22" t="str">
        <x:v>02_GBT_Compliance</x:v>
      </x:c>
      <x:c r="B21" s="22" t="str">
        <x:v>gbt_output_voltage_error_percent</x:v>
      </x:c>
      <x:c r="C21" s="22" t="n">
        <x:v>1</x:v>
      </x:c>
      <x:c r="D21" s="22" t="str">
        <x:v>%</x:v>
      </x:c>
      <x:c r="E21" s="22" t="str"/>
      <x:c r="F21" s="22" t="str"/>
      <x:c r="G21" s="22" t="str">
        <x:v>GB/T 40432—2021 §4.2.6</x:v>
      </x:c>
      <x:c r="H21" s="22" t="str">
        <x:v>PASS</x:v>
      </x:c>
      <x:c r="I21" s="22" t="str"/>
    </x:row>
    <x:row r="22" ht="39.599998474121094" hidden="0" customHeight="1">
      <x:c r="A22" s="22" t="str">
        <x:v>02_GBT_Compliance</x:v>
      </x:c>
      <x:c r="B22" s="22" t="str">
        <x:v>allocated_vdc_sensing_error_percent</x:v>
      </x:c>
      <x:c r="C22" s="22" t="n">
        <x:v>0.5</x:v>
      </x:c>
      <x:c r="D22" s="22" t="str">
        <x:v>%FS</x:v>
      </x:c>
      <x:c r="E22" s="22" t="str">
        <x:v>GBT limit*allocation fraction</x:v>
      </x:c>
      <x:c r="F22" s="22" t="str"/>
      <x:c r="G22" s="22" t="str">
        <x:v>GB/T 40432—2021</x:v>
      </x:c>
      <x:c r="H22" s="22" t="str">
        <x:v>PASS</x:v>
      </x:c>
      <x:c r="I22" s="22" t="str"/>
    </x:row>
    <x:row r="23" ht="39.599998474121094" hidden="0" customHeight="1">
      <x:c r="A23" s="22" t="str">
        <x:v>02_GBT_Compliance</x:v>
      </x:c>
      <x:c r="B23" s="22" t="str">
        <x:v>configured_vdc_sensing_target_percent</x:v>
      </x:c>
      <x:c r="C23" s="22" t="n">
        <x:v>0.5</x:v>
      </x:c>
      <x:c r="D23" s="22" t="str">
        <x:v>%FS</x:v>
      </x:c>
      <x:c r="E23" s="22" t="str"/>
      <x:c r="F23" s="22" t="str"/>
      <x:c r="G23" s="22" t="str">
        <x:v>channel configuration</x:v>
      </x:c>
      <x:c r="H23" s="22" t="str">
        <x:v>PASS</x:v>
      </x:c>
      <x:c r="I23" s="22" t="str"/>
    </x:row>
    <x:row r="24" ht="39.599998474121094" hidden="0" customHeight="1">
      <x:c r="A24" s="22" t="str">
        <x:v>02_GBT_Compliance</x:v>
      </x:c>
      <x:c r="B24" s="22" t="str">
        <x:v>gbt_output_current_threshold_a</x:v>
      </x:c>
      <x:c r="C24" s="22" t="n">
        <x:v>10</x:v>
      </x:c>
      <x:c r="D24" s="22" t="str">
        <x:v>A</x:v>
      </x:c>
      <x:c r="E24" s="22" t="str"/>
      <x:c r="F24" s="22" t="str"/>
      <x:c r="G24" s="22" t="str">
        <x:v>GB/T 40432—2021 §4.2.7</x:v>
      </x:c>
      <x:c r="H24" s="22" t="str">
        <x:v>PASS</x:v>
      </x:c>
      <x:c r="I24" s="22" t="str"/>
    </x:row>
    <x:row r="25" ht="39.599998474121094" hidden="0" customHeight="1">
      <x:c r="A25" s="22" t="str">
        <x:v>02_GBT_Compliance</x:v>
      </x:c>
      <x:c r="B25" s="22" t="str">
        <x:v>gbt_output_current_error_above_threshold_percent</x:v>
      </x:c>
      <x:c r="C25" s="22" t="n">
        <x:v>5</x:v>
      </x:c>
      <x:c r="D25" s="22" t="str">
        <x:v>%</x:v>
      </x:c>
      <x:c r="E25" s="22" t="str"/>
      <x:c r="F25" s="22" t="str"/>
      <x:c r="G25" s="22" t="str">
        <x:v>GB/T 40432—2021 §4.2.7</x:v>
      </x:c>
      <x:c r="H25" s="22" t="str">
        <x:v>PASS</x:v>
      </x:c>
      <x:c r="I25" s="22" t="str"/>
    </x:row>
    <x:row r="26" ht="39.599998474121094" hidden="0" customHeight="1">
      <x:c r="A26" s="22" t="str">
        <x:v>02_GBT_Compliance</x:v>
      </x:c>
      <x:c r="B26" s="22" t="str">
        <x:v>gbt_output_current_error_below_threshold_a</x:v>
      </x:c>
      <x:c r="C26" s="22" t="n">
        <x:v>0.5</x:v>
      </x:c>
      <x:c r="D26" s="22" t="str">
        <x:v>A</x:v>
      </x:c>
      <x:c r="E26" s="22" t="str"/>
      <x:c r="F26" s="22" t="str"/>
      <x:c r="G26" s="22" t="str">
        <x:v>GB/T 40432—2021 §4.2.7</x:v>
      </x:c>
      <x:c r="H26" s="22" t="str">
        <x:v>PASS</x:v>
      </x:c>
      <x:c r="I26" s="22" t="str"/>
    </x:row>
    <x:row r="27" ht="39.599998474121094" hidden="0" customHeight="1">
      <x:c r="A27" s="22" t="str">
        <x:v>02_GBT_Compliance</x:v>
      </x:c>
      <x:c r="B27" s="22" t="str">
        <x:v>allocated_idc_sensing_error_percent</x:v>
      </x:c>
      <x:c r="C27" s="22" t="n">
        <x:v>2.5</x:v>
      </x:c>
      <x:c r="D27" s="22" t="str">
        <x:v>%FS</x:v>
      </x:c>
      <x:c r="E27" s="22" t="str"/>
      <x:c r="F27" s="22" t="str"/>
      <x:c r="G27" s="22" t="str">
        <x:v>GB/T 40432—2021</x:v>
      </x:c>
      <x:c r="H27" s="22" t="str">
        <x:v>PASS</x:v>
      </x:c>
      <x:c r="I27" s="22" t="str"/>
    </x:row>
    <x:row r="28" ht="39.599998474121094" hidden="0" customHeight="1">
      <x:c r="A28" s="22" t="str">
        <x:v>02_GBT_Compliance</x:v>
      </x:c>
      <x:c r="B28" s="22" t="str">
        <x:v>configured_idc_sensing_target_percent</x:v>
      </x:c>
      <x:c r="C28" s="22" t="n">
        <x:v>0.5</x:v>
      </x:c>
      <x:c r="D28" s="22" t="str">
        <x:v>%FS</x:v>
      </x:c>
      <x:c r="E28" s="22" t="str"/>
      <x:c r="F28" s="22" t="str"/>
      <x:c r="G28" s="22" t="str">
        <x:v>channel configuration</x:v>
      </x:c>
      <x:c r="H28" s="22" t="str">
        <x:v>PASS</x:v>
      </x:c>
      <x:c r="I28" s="22" t="str"/>
    </x:row>
    <x:row r="29" ht="39.599998474121094" hidden="0" customHeight="1">
      <x:c r="A29" s="22" t="str">
        <x:v>02_GBT_Compliance</x:v>
      </x:c>
      <x:c r="B29" s="22" t="str">
        <x:v>configured_idc_sensing_target_absolute_a</x:v>
      </x:c>
      <x:c r="C29" s="22" t="n">
        <x:v>0.0469416785206259</x:v>
      </x:c>
      <x:c r="D29" s="22" t="str">
        <x:v>A</x:v>
      </x:c>
      <x:c r="E29" s="22" t="str">
        <x:v>IDC_design*target_%FS/100</x:v>
      </x:c>
      <x:c r="F29" s="22" t="str"/>
      <x:c r="G29" s="22" t="str">
        <x:v>GB/T 40432—2021</x:v>
      </x:c>
      <x:c r="H29" s="22" t="str">
        <x:v>PASS</x:v>
      </x:c>
      <x:c r="I29" s="22" t="str">
        <x:v>Conservative screening; %FS and low-current absolute error are not identical definitions.</x:v>
      </x:c>
    </x:row>
    <x:row r="30" ht="39.599998474121094" hidden="0" customHeight="1">
      <x:c r="A30" s="22" t="str">
        <x:v>02_GBT_Compliance</x:v>
      </x:c>
      <x:c r="B30" s="22" t="str">
        <x:v>allocated_idc_low_current_error_a</x:v>
      </x:c>
      <x:c r="C30" s="22" t="n">
        <x:v>0.25</x:v>
      </x:c>
      <x:c r="D30" s="22" t="str">
        <x:v>A</x:v>
      </x:c>
      <x:c r="E30" s="22" t="str"/>
      <x:c r="F30" s="22" t="str"/>
      <x:c r="G30" s="22" t="str">
        <x:v>GB/T 40432—2021</x:v>
      </x:c>
      <x:c r="H30" s="22" t="str">
        <x:v>PASS</x:v>
      </x:c>
      <x:c r="I30" s="22" t="str"/>
    </x:row>
    <x:row r="31" ht="66" hidden="0" customHeight="1">
      <x:c r="A31" s="22" t="str">
        <x:v>02_GBT_Compliance</x:v>
      </x:c>
      <x:c r="B31" s="22" t="str">
        <x:v>gbt_voltage_ripple_factor_percent</x:v>
      </x:c>
      <x:c r="C31" s="22" t="n">
        <x:v>5</x:v>
      </x:c>
      <x:c r="D31" s="22" t="str">
        <x:v>%</x:v>
      </x:c>
      <x:c r="E31" s="22" t="str">
        <x:v>Vpp/(2*Vdc)*100</x:v>
      </x:c>
      <x:c r="F31" s="22" t="str"/>
      <x:c r="G31" s="22" t="str">
        <x:v>GB/T 40432—2021 §4.2.8/§5.3.9</x:v>
      </x:c>
      <x:c r="H31" s="22" t="str">
        <x:v>PASS</x:v>
      </x:c>
      <x:c r="I31" s="22" t="str"/>
    </x:row>
    <x:row r="32" ht="52.79999923706055" hidden="0" customHeight="1">
      <x:c r="A32" s="22" t="str">
        <x:v>02_GBT_Compliance</x:v>
      </x:c>
      <x:c r="B32" s="22" t="str">
        <x:v>gbt_voltage_ripple_vpp_ratio</x:v>
      </x:c>
      <x:c r="C32" s="22" t="n">
        <x:v>10</x:v>
      </x:c>
      <x:c r="D32" s="22" t="str">
        <x:v>% of Vdc</x:v>
      </x:c>
      <x:c r="E32" s="22" t="str">
        <x:v>Vpp/Vdc=2*Vripple_factor</x:v>
      </x:c>
      <x:c r="F32" s="22" t="str"/>
      <x:c r="G32" s="22" t="str">
        <x:v>derived from GB/T 40432—2021 §4.2.8</x:v>
      </x:c>
      <x:c r="H32" s="22" t="str">
        <x:v>PASS</x:v>
      </x:c>
      <x:c r="I32" s="22" t="str"/>
    </x:row>
    <x:row r="33" ht="52.79999923706055" hidden="0" customHeight="1">
      <x:c r="A33" s="22" t="str">
        <x:v>02_GBT_Compliance</x:v>
      </x:c>
      <x:c r="B33" s="22" t="str">
        <x:v>gbt_vdc_startup_range_factor</x:v>
      </x:c>
      <x:c r="C33" s="22" t="n">
        <x:v>1.1</x:v>
      </x:c>
      <x:c r="D33" s="22" t="str">
        <x:v>pu</x:v>
      </x:c>
      <x:c r="E33" s="22" t="str"/>
      <x:c r="F33" s="22" t="str"/>
      <x:c r="G33" s="22" t="str">
        <x:v>GB/T 40432—2021 §4.2.9.1</x:v>
      </x:c>
      <x:c r="H33" s="22" t="str">
        <x:v>PASS</x:v>
      </x:c>
      <x:c r="I33" s="22" t="str"/>
    </x:row>
    <x:row r="34" ht="39.599998474121094" hidden="0" customHeight="1">
      <x:c r="A34" s="22" t="str">
        <x:v>02_GBT_Compliance</x:v>
      </x:c>
      <x:c r="B34" s="22" t="str">
        <x:v>configured_vdc_range_margin</x:v>
      </x:c>
      <x:c r="C34" s="22" t="n">
        <x:v>1.15</x:v>
      </x:c>
      <x:c r="D34" s="22" t="str">
        <x:v>pu</x:v>
      </x:c>
      <x:c r="E34" s="22" t="str"/>
      <x:c r="F34" s="22" t="str"/>
      <x:c r="G34" s="22" t="str">
        <x:v>channel configuration</x:v>
      </x:c>
      <x:c r="H34" s="22" t="str">
        <x:v>PASS</x:v>
      </x:c>
      <x:c r="I34" s="22" t="str"/>
    </x:row>
    <x:row r="35" ht="52.79999923706055" hidden="0" customHeight="1">
      <x:c r="A35" s="22" t="str">
        <x:v>02_GBT_Compliance</x:v>
      </x:c>
      <x:c r="B35" s="22" t="str">
        <x:v>gbt_idc_startup_range_factor</x:v>
      </x:c>
      <x:c r="C35" s="22" t="n">
        <x:v>1.05</x:v>
      </x:c>
      <x:c r="D35" s="22" t="str">
        <x:v>pu</x:v>
      </x:c>
      <x:c r="E35" s="22" t="str"/>
      <x:c r="F35" s="22" t="str"/>
      <x:c r="G35" s="22" t="str">
        <x:v>GB/T 40432—2021 §4.2.9.2</x:v>
      </x:c>
      <x:c r="H35" s="22" t="str">
        <x:v>PASS</x:v>
      </x:c>
      <x:c r="I35" s="22" t="str"/>
    </x:row>
    <x:row r="36" ht="39.599998474121094" hidden="0" customHeight="1">
      <x:c r="A36" s="22" t="str">
        <x:v>02_GBT_Compliance</x:v>
      </x:c>
      <x:c r="B36" s="22" t="str">
        <x:v>configured_idc_range_margin</x:v>
      </x:c>
      <x:c r="C36" s="22" t="n">
        <x:v>1.2</x:v>
      </x:c>
      <x:c r="D36" s="22" t="str">
        <x:v>pu</x:v>
      </x:c>
      <x:c r="E36" s="22" t="str"/>
      <x:c r="F36" s="22" t="str"/>
      <x:c r="G36" s="22" t="str">
        <x:v>channel configuration</x:v>
      </x:c>
      <x:c r="H36" s="22" t="str">
        <x:v>PASS</x:v>
      </x:c>
      <x:c r="I36" s="22" t="str"/>
    </x:row>
    <x:row r="37" ht="52.79999923706055" hidden="0" customHeight="1">
      <x:c r="A37" s="22" t="str">
        <x:v>02_GBT_Compliance</x:v>
      </x:c>
      <x:c r="B37" s="22" t="str">
        <x:v>gbt_pf_rated_min</x:v>
      </x:c>
      <x:c r="C37" s="22" t="n">
        <x:v>0.98</x:v>
      </x:c>
      <x:c r="D37" s="22" t="str">
        <x:v>pu</x:v>
      </x:c>
      <x:c r="E37" s="22" t="str"/>
      <x:c r="F37" s="22" t="str"/>
      <x:c r="G37" s="22" t="str">
        <x:v>GB/T 40432—2021 Table 2</x:v>
      </x:c>
      <x:c r="H37" s="22" t="str">
        <x:v>PASS</x:v>
      </x:c>
      <x:c r="I37" s="22" t="str"/>
    </x:row>
    <x:row r="38" ht="52.79999923706055" hidden="0" customHeight="1">
      <x:c r="A38" s="22" t="str">
        <x:v>02_GBT_Compliance</x:v>
      </x:c>
      <x:c r="B38" s="22" t="str">
        <x:v>gbt_pf_half_load_min</x:v>
      </x:c>
      <x:c r="C38" s="22" t="n">
        <x:v>0.95</x:v>
      </x:c>
      <x:c r="D38" s="22" t="str">
        <x:v>pu</x:v>
      </x:c>
      <x:c r="E38" s="22" t="str"/>
      <x:c r="F38" s="22" t="str"/>
      <x:c r="G38" s="22" t="str">
        <x:v>GB/T 40432—2021 Table 2</x:v>
      </x:c>
      <x:c r="H38" s="22" t="str">
        <x:v>PASS</x:v>
      </x:c>
      <x:c r="I38" s="22" t="str"/>
    </x:row>
    <x:row r="39" ht="39.599998474121094" hidden="0" customHeight="1">
      <x:c r="A39" s="22" t="str">
        <x:v>02_GBT_Compliance</x:v>
      </x:c>
      <x:c r="B39" s="22" t="str">
        <x:v>configured_pf_design</x:v>
      </x:c>
      <x:c r="C39" s="22" t="n">
        <x:v>0.99</x:v>
      </x:c>
      <x:c r="D39" s="22" t="str">
        <x:v>pu</x:v>
      </x:c>
      <x:c r="E39" s="22" t="str"/>
      <x:c r="F39" s="22" t="str"/>
      <x:c r="G39" s="22" t="str">
        <x:v>system configuration</x:v>
      </x:c>
      <x:c r="H39" s="22" t="str">
        <x:v>PASS</x:v>
      </x:c>
      <x:c r="I39" s="22" t="str"/>
    </x:row>
    <x:row r="40" ht="79.19999694824219" hidden="0" customHeight="1">
      <x:c r="A40" s="22" t="str">
        <x:v>02_GBT_Compliance</x:v>
      </x:c>
      <x:c r="B40" s="22" t="str">
        <x:v>estimated_rated_input_current_a</x:v>
      </x:c>
      <x:c r="C40" s="22" t="n">
        <x:v>12.082547967715431</x:v>
      </x:c>
      <x:c r="D40" s="22" t="str">
        <x:v>A RMS</x:v>
      </x:c>
      <x:c r="E40" s="22" t="str">
        <x:v>Prated/(Vnom*eta*PF), with phase factor</x:v>
      </x:c>
      <x:c r="F40" s="22" t="str"/>
      <x:c r="G40" s="22" t="str">
        <x:v>calculated for GB/T 40432—2021 §4.5.3.5/§4.5.3.6</x:v>
      </x:c>
      <x:c r="H40" s="22" t="str">
        <x:v>PASS</x:v>
      </x:c>
      <x:c r="I40" s="22" t="str"/>
    </x:row>
    <x:row r="41" ht="52.79999923706055" hidden="0" customHeight="1">
      <x:c r="A41" s="22" t="str">
        <x:v>02_GBT_Compliance</x:v>
      </x:c>
      <x:c r="B41" s="22" t="str">
        <x:v>harmonic_current_standard</x:v>
      </x:c>
      <x:c r="C41" s="22" t="str">
        <x:v>GB 17625.1</x:v>
      </x:c>
      <x:c r="D41" s="22" t="str"/>
      <x:c r="E41" s="22" t="str"/>
      <x:c r="F41" s="22" t="str"/>
      <x:c r="G41" s="22" t="str">
        <x:v>GB/T 40432—2021 §4.5.3.5</x:v>
      </x:c>
      <x:c r="H41" s="22" t="str">
        <x:v>PASS</x:v>
      </x:c>
      <x:c r="I41" s="22" t="str"/>
    </x:row>
    <x:row r="42" ht="52.79999923706055" hidden="0" customHeight="1">
      <x:c r="A42" s="22" t="str">
        <x:v>02_GBT_Compliance</x:v>
      </x:c>
      <x:c r="B42" s="22" t="str">
        <x:v>voltage_fluctuation_standard</x:v>
      </x:c>
      <x:c r="C42" s="22" t="str">
        <x:v>GB/T 17625.2</x:v>
      </x:c>
      <x:c r="D42" s="22" t="str"/>
      <x:c r="E42" s="22" t="str"/>
      <x:c r="F42" s="22" t="str"/>
      <x:c r="G42" s="22" t="str">
        <x:v>GB/T 40432—2021 §4.5.3.6</x:v>
      </x:c>
      <x:c r="H42" s="22" t="str">
        <x:v>PASS</x:v>
      </x:c>
      <x:c r="I42" s="22" t="str"/>
    </x:row>
    <x:row r="43" ht="52.79999923706055" hidden="0" customHeight="1">
      <x:c r="A43" s="22" t="str">
        <x:v>02_GBT_Compliance</x:v>
      </x:c>
      <x:c r="B43" s="22" t="str">
        <x:v>gbt_average_efficiency_min</x:v>
      </x:c>
      <x:c r="C43" s="22" t="n">
        <x:v>0.94</x:v>
      </x:c>
      <x:c r="D43" s="22" t="str">
        <x:v>pu</x:v>
      </x:c>
      <x:c r="E43" s="22" t="str"/>
      <x:c r="F43" s="22" t="str"/>
      <x:c r="G43" s="22" t="str">
        <x:v>GB/T 40432—2021 Table 3</x:v>
      </x:c>
      <x:c r="H43" s="22" t="str">
        <x:v>PASS</x:v>
      </x:c>
      <x:c r="I43" s="22" t="str"/>
    </x:row>
    <x:row r="44" ht="39.599998474121094" hidden="0" customHeight="1">
      <x:c r="A44" s="22" t="str">
        <x:v>02_GBT_Compliance</x:v>
      </x:c>
      <x:c r="B44" s="22" t="str">
        <x:v>configured_worst_case_efficiency</x:v>
      </x:c>
      <x:c r="C44" s="22" t="n">
        <x:v>0.95</x:v>
      </x:c>
      <x:c r="D44" s="22" t="str">
        <x:v>pu</x:v>
      </x:c>
      <x:c r="E44" s="22" t="str"/>
      <x:c r="F44" s="22" t="str"/>
      <x:c r="G44" s="22" t="str">
        <x:v>system configuration</x:v>
      </x:c>
      <x:c r="H44" s="22" t="str">
        <x:v>PASS</x:v>
      </x:c>
      <x:c r="I44" s="22" t="str">
        <x:v>This is a sizing assumption, not the ten-point average-efficiency test result.</x:v>
      </x:c>
    </x:row>
    <x:row r="45" ht="52.79999923706055" hidden="0" customHeight="1">
      <x:c r="A45" s="22" t="str">
        <x:v>03_GBT_Test_Matrix</x:v>
      </x:c>
      <x:c r="B45" s="22" t="str">
        <x:v>ac_voltage_low_test</x:v>
      </x:c>
      <x:c r="C45" s="22" t="str">
        <x:v>187.000 V RMS, &gt;=60 s</x:v>
      </x:c>
      <x:c r="D45" s="22" t="str"/>
      <x:c r="E45" s="22" t="str"/>
      <x:c r="F45" s="22" t="str"/>
      <x:c r="G45" s="22" t="str">
        <x:v>GB/T 40432—2021 §5.3.2.1</x:v>
      </x:c>
      <x:c r="H45" s="22" t="str">
        <x:v>PASS</x:v>
      </x:c>
      <x:c r="I45" s="22" t="str"/>
    </x:row>
    <x:row r="46" ht="52.79999923706055" hidden="0" customHeight="1">
      <x:c r="A46" s="22" t="str">
        <x:v>03_GBT_Test_Matrix</x:v>
      </x:c>
      <x:c r="B46" s="22" t="str">
        <x:v>ac_voltage_high_test</x:v>
      </x:c>
      <x:c r="C46" s="22" t="str">
        <x:v>253.000 V RMS, &gt;=60 s</x:v>
      </x:c>
      <x:c r="D46" s="22" t="str"/>
      <x:c r="E46" s="22" t="str"/>
      <x:c r="F46" s="22" t="str"/>
      <x:c r="G46" s="22" t="str">
        <x:v>GB/T 40432—2021 §5.3.2.1</x:v>
      </x:c>
      <x:c r="H46" s="22" t="str">
        <x:v>PASS</x:v>
      </x:c>
      <x:c r="I46" s="22" t="str"/>
    </x:row>
    <x:row r="47" ht="52.79999923706055" hidden="0" customHeight="1">
      <x:c r="A47" s="22" t="str">
        <x:v>03_GBT_Test_Matrix</x:v>
      </x:c>
      <x:c r="B47" s="22" t="str">
        <x:v>frequency_low_test</x:v>
      </x:c>
      <x:c r="C47" s="22" t="str">
        <x:v>49.0 Hz, 60 s</x:v>
      </x:c>
      <x:c r="D47" s="22" t="str"/>
      <x:c r="E47" s="22" t="str"/>
      <x:c r="F47" s="22" t="str"/>
      <x:c r="G47" s="22" t="str">
        <x:v>GB/T 40432—2021 §5.3.2.2</x:v>
      </x:c>
      <x:c r="H47" s="22" t="str">
        <x:v>PASS</x:v>
      </x:c>
      <x:c r="I47" s="22" t="str"/>
    </x:row>
    <x:row r="48" ht="52.79999923706055" hidden="0" customHeight="1">
      <x:c r="A48" s="22" t="str">
        <x:v>03_GBT_Test_Matrix</x:v>
      </x:c>
      <x:c r="B48" s="22" t="str">
        <x:v>frequency_high_test</x:v>
      </x:c>
      <x:c r="C48" s="22" t="str">
        <x:v>51.0 Hz, 60 s</x:v>
      </x:c>
      <x:c r="D48" s="22" t="str"/>
      <x:c r="E48" s="22" t="str"/>
      <x:c r="F48" s="22" t="str"/>
      <x:c r="G48" s="22" t="str">
        <x:v>GB/T 40432—2021 §5.3.2.2</x:v>
      </x:c>
      <x:c r="H48" s="22" t="str">
        <x:v>PASS</x:v>
      </x:c>
      <x:c r="I48" s="22" t="str"/>
    </x:row>
    <x:row r="49" ht="79.19999694824219" hidden="0" customHeight="1">
      <x:c r="A49" s="22" t="str">
        <x:v>03_GBT_Test_Matrix</x:v>
      </x:c>
      <x:c r="B49" s="22" t="str">
        <x:v>startup_inrush_test</x:v>
      </x:c>
      <x:c r="C49" s="22" t="str">
        <x:v>3 starts; &gt;=2 min interval; compare startup/stable peaks</x:v>
      </x:c>
      <x:c r="D49" s="22" t="str"/>
      <x:c r="E49" s="22" t="str"/>
      <x:c r="F49" s="22" t="str"/>
      <x:c r="G49" s="22" t="str">
        <x:v>GB/T 40432—2021 §5.3.3</x:v>
      </x:c>
      <x:c r="H49" s="22" t="str">
        <x:v>PASS</x:v>
      </x:c>
      <x:c r="I49" s="22" t="str">
        <x:v>Microsecond EMI inrush is excluded by the standard.</x:v>
      </x:c>
    </x:row>
    <x:row r="50" ht="39.599998474121094" hidden="0" customHeight="1">
      <x:c r="A50" s="22" t="str">
        <x:v>03_GBT_Test_Matrix</x:v>
      </x:c>
      <x:c r="B50" s="22" t="str">
        <x:v>voltage_error_load_points</x:v>
      </x:c>
      <x:c r="C50" s="22" t="str">
        <x:v>10%, 50%, 100% rated load</x:v>
      </x:c>
      <x:c r="D50" s="22" t="str"/>
      <x:c r="E50" s="22" t="str"/>
      <x:c r="F50" s="22" t="str"/>
      <x:c r="G50" s="22" t="str">
        <x:v>GB/T 40432—2021 §5.3.7</x:v>
      </x:c>
      <x:c r="H50" s="22" t="str">
        <x:v>PASS</x:v>
      </x:c>
      <x:c r="I50" s="22" t="str"/>
    </x:row>
    <x:row r="51" ht="92.4000015258789" hidden="0" customHeight="1">
      <x:c r="A51" s="22" t="str">
        <x:v>03_GBT_Test_Matrix</x:v>
      </x:c>
      <x:c r="B51" s="22" t="str">
        <x:v>current_error_voltage_points</x:v>
      </x:c>
      <x:c r="C51" s="22" t="str">
        <x:v>output-voltage lower limit, rated value, upper limit</x:v>
      </x:c>
      <x:c r="D51" s="22" t="str"/>
      <x:c r="E51" s="22" t="str"/>
      <x:c r="F51" s="22" t="str"/>
      <x:c r="G51" s="22" t="str">
        <x:v>GB/T 40432—2021 §5.3.8</x:v>
      </x:c>
      <x:c r="H51" s="22" t="str">
        <x:v>PASS</x:v>
      </x:c>
      <x:c r="I51" s="22" t="str"/>
    </x:row>
    <x:row r="52" ht="66" hidden="0" customHeight="1">
      <x:c r="A52" s="22" t="str">
        <x:v>03_GBT_Test_Matrix</x:v>
      </x:c>
      <x:c r="B52" s="22" t="str">
        <x:v>ripple_load_points</x:v>
      </x:c>
      <x:c r="C52" s="22" t="str">
        <x:v>50%, 100% rated output current</x:v>
      </x:c>
      <x:c r="D52" s="22" t="str"/>
      <x:c r="E52" s="22" t="str"/>
      <x:c r="F52" s="22" t="str"/>
      <x:c r="G52" s="22" t="str">
        <x:v>GB/T 40432—2021 §5.3.9</x:v>
      </x:c>
      <x:c r="H52" s="22" t="str">
        <x:v>PASS</x:v>
      </x:c>
      <x:c r="I52" s="22" t="str"/>
    </x:row>
    <x:row r="53" ht="79.19999694824219" hidden="0" customHeight="1">
      <x:c r="A53" s="22" t="str">
        <x:v>03_GBT_Test_Matrix</x:v>
      </x:c>
      <x:c r="B53" s="22" t="str">
        <x:v>ripple_scope_setting</x:v>
      </x:c>
      <x:c r="C53" s="22" t="str">
        <x:v>AC coupling; 20 MHz bandwidth; &gt;=0.5 s/div</x:v>
      </x:c>
      <x:c r="D53" s="22" t="str"/>
      <x:c r="E53" s="22" t="str"/>
      <x:c r="F53" s="22" t="str"/>
      <x:c r="G53" s="22" t="str">
        <x:v>GB/T 40432—2021 §5.3.9</x:v>
      </x:c>
      <x:c r="H53" s="22" t="str">
        <x:v>PASS</x:v>
      </x:c>
      <x:c r="I53" s="22" t="str">
        <x:v>This is not the MCU ADC bandwidth requirement.</x:v>
      </x:c>
    </x:row>
    <x:row r="54" ht="52.79999923706055" hidden="0" customHeight="1">
      <x:c r="A54" s="22" t="str">
        <x:v>03_GBT_Test_Matrix</x:v>
      </x:c>
      <x:c r="B54" s="22" t="str">
        <x:v>efficiency_warmup</x:v>
      </x:c>
      <x:c r="C54" s="22" t="str">
        <x:v>30 min at rated state</x:v>
      </x:c>
      <x:c r="D54" s="22" t="str"/>
      <x:c r="E54" s="22" t="str"/>
      <x:c r="F54" s="22" t="str"/>
      <x:c r="G54" s="22" t="str">
        <x:v>GB/T 40432—2021 §5.3.13</x:v>
      </x:c>
      <x:c r="H54" s="22" t="str">
        <x:v>PASS</x:v>
      </x:c>
      <x:c r="I54" s="22" t="str"/>
    </x:row>
    <x:row r="55" ht="92.4000015258789" hidden="0" customHeight="1">
      <x:c r="A55" s="22" t="str">
        <x:v>03_GBT_Test_Matrix</x:v>
      </x:c>
      <x:c r="B55" s="22" t="str">
        <x:v>efficiency_voltage_points</x:v>
      </x:c>
      <x:c r="C55" s="22" t="str">
        <x:v>10 evenly spaced values across product output range</x:v>
      </x:c>
      <x:c r="D55" s="22" t="str"/>
      <x:c r="E55" s="22" t="str"/>
      <x:c r="F55" s="22" t="str"/>
      <x:c r="G55" s="22" t="str">
        <x:v>GB/T 40432—2021 §5.3.13</x:v>
      </x:c>
      <x:c r="H55" s="22" t="str">
        <x:v>PASS</x:v>
      </x:c>
      <x:c r="I55" s="22" t="str"/>
    </x:row>
    <x:row r="56" ht="66" hidden="0" customHeight="1">
      <x:c r="A56" s="22" t="str">
        <x:v>03_GBT_Test_Matrix</x:v>
      </x:c>
      <x:c r="B56" s="22" t="str">
        <x:v>ac_protection_thresholds</x:v>
      </x:c>
      <x:c r="C56" s="22" t="str">
        <x:v>product technical document-defined</x:v>
      </x:c>
      <x:c r="D56" s="22" t="str"/>
      <x:c r="E56" s="22" t="str"/>
      <x:c r="F56" s="22" t="str"/>
      <x:c r="G56" s="22" t="str">
        <x:v>GB/T 40432—2021 §4.3.1/§5.4.1</x:v>
      </x:c>
      <x:c r="H56" s="22" t="str">
        <x:v>PASS</x:v>
      </x:c>
      <x:c r="I56" s="22" t="str">
        <x:v>The national standard does not provide one universal threshold value.</x:v>
      </x:c>
    </x:row>
    <x:row r="57" ht="66" hidden="0" customHeight="1">
      <x:c r="A57" s="22" t="str">
        <x:v>03_GBT_Test_Matrix</x:v>
      </x:c>
      <x:c r="B57" s="22" t="str">
        <x:v>dc_protection_thresholds</x:v>
      </x:c>
      <x:c r="C57" s="22" t="str">
        <x:v>product technical document-defined</x:v>
      </x:c>
      <x:c r="D57" s="22" t="str"/>
      <x:c r="E57" s="22" t="str"/>
      <x:c r="F57" s="22" t="str"/>
      <x:c r="G57" s="22" t="str">
        <x:v>GB/T 40432—2021 §4.3.3/§5.4.3</x:v>
      </x:c>
      <x:c r="H57" s="22" t="str">
        <x:v>PASS</x:v>
      </x:c>
      <x:c r="I57" s="22" t="str">
        <x:v>Do not replace product protection calibration with the ±15% normal-input test range.</x:v>
      </x:c>
    </x:row>
    <x:row r="58" ht="52.79999923706055" hidden="0" customHeight="1">
      <x:c r="A58" s="22" t="str">
        <x:v>03_GBT_Test_Matrix</x:v>
      </x:c>
      <x:c r="B58" s="22" t="str">
        <x:v>voltage_dip_1</x:v>
      </x:c>
      <x:c r="C58" s="22" t="str">
        <x:v>250 cycles / 5 s at 50 Hz; state II</x:v>
      </x:c>
      <x:c r="D58" s="22" t="str"/>
      <x:c r="E58" s="22" t="str"/>
      <x:c r="F58" s="22" t="str"/>
      <x:c r="G58" s="22" t="str">
        <x:v>GB/T 40432—2021 Table 7</x:v>
      </x:c>
      <x:c r="H58" s="22" t="str">
        <x:v>PASS</x:v>
      </x:c>
      <x:c r="I58" s="22" t="str"/>
    </x:row>
    <x:row r="59" ht="52.79999923706055" hidden="0" customHeight="1">
      <x:c r="A59" s="22" t="str">
        <x:v>03_GBT_Test_Matrix</x:v>
      </x:c>
      <x:c r="B59" s="22" t="str">
        <x:v>voltage_dip_2</x:v>
      </x:c>
      <x:c r="C59" s="22" t="str">
        <x:v>25 cycles / 0.5 s at 50 Hz; state II</x:v>
      </x:c>
      <x:c r="D59" s="22" t="str"/>
      <x:c r="E59" s="22" t="str"/>
      <x:c r="F59" s="22" t="str"/>
      <x:c r="G59" s="22" t="str">
        <x:v>GB/T 40432—2021 Table 7</x:v>
      </x:c>
      <x:c r="H59" s="22" t="str">
        <x:v>PASS</x:v>
      </x:c>
      <x:c r="I59" s="22" t="str"/>
    </x:row>
    <x:row r="60" ht="52.79999923706055" hidden="0" customHeight="1">
      <x:c r="A60" s="22" t="str">
        <x:v>03_GBT_Test_Matrix</x:v>
      </x:c>
      <x:c r="B60" s="22" t="str">
        <x:v>voltage_dip_3</x:v>
      </x:c>
      <x:c r="C60" s="22" t="str">
        <x:v>10 cycles / 0.2 s at 50 Hz; state III</x:v>
      </x:c>
      <x:c r="D60" s="22" t="str"/>
      <x:c r="E60" s="22" t="str"/>
      <x:c r="F60" s="22" t="str"/>
      <x:c r="G60" s="22" t="str">
        <x:v>GB/T 40432—2021 Table 7</x:v>
      </x:c>
      <x:c r="H60" s="22" t="str">
        <x:v>PASS</x:v>
      </x:c>
      <x:c r="I60" s="22" t="str"/>
    </x:row>
    <x:row r="61" ht="52.79999923706055" hidden="0" customHeight="1">
      <x:c r="A61" s="22" t="str">
        <x:v>03_GBT_Test_Matrix</x:v>
      </x:c>
      <x:c r="B61" s="22" t="str">
        <x:v>voltage_dip_4</x:v>
      </x:c>
      <x:c r="C61" s="22" t="str">
        <x:v>250 cycles / 5 s at 50 Hz; state III</x:v>
      </x:c>
      <x:c r="D61" s="22" t="str"/>
      <x:c r="E61" s="22" t="str"/>
      <x:c r="F61" s="22" t="str"/>
      <x:c r="G61" s="22" t="str">
        <x:v>GB/T 40432—2021 Table 7</x:v>
      </x:c>
      <x:c r="H61" s="22" t="str">
        <x:v>PASS</x:v>
      </x:c>
      <x:c r="I61" s="22" t="str"/>
    </x:row>
    <x:row r="62" ht="118.80000305175781" hidden="0" customHeight="1">
      <x:c r="A62" s="22" t="str">
        <x:v>04_GBT_Allocation</x:v>
      </x:c>
      <x:c r="B62" s="22" t="str">
        <x:v>vac_nominal_handling</x:v>
      </x:c>
      <x:c r="C62" s="22" t="str">
        <x:v>Add compliance test nominal; do not overwrite hardware/product rating</x:v>
      </x:c>
      <x:c r="D62" s="22" t="str"/>
      <x:c r="E62" s="22" t="str"/>
      <x:c r="F62" s="22" t="str"/>
      <x:c r="G62" s="22" t="str">
        <x:v>engineering allocation from GB/T 40432—2021</x:v>
      </x:c>
      <x:c r="H62" s="22" t="str">
        <x:v>PASS</x:v>
      </x:c>
      <x:c r="I62" s="22" t="str">
        <x:v>GB/T nominal=220.000 V RMS; test range=187.000–253.000 V RMS.</x:v>
      </x:c>
    </x:row>
    <x:row r="63" ht="92.4000015258789" hidden="0" customHeight="1">
      <x:c r="A63" s="22" t="str">
        <x:v>04_GBT_Allocation</x:v>
      </x:c>
      <x:c r="B63" s="22" t="str">
        <x:v>vac_range_handling</x:v>
      </x:c>
      <x:c r="C63" s="22" t="str">
        <x:v>Keep wider hardware range; add separate GB/T test range</x:v>
      </x:c>
      <x:c r="D63" s="22" t="str"/>
      <x:c r="E63" s="22" t="str"/>
      <x:c r="F63" s="22" t="str"/>
      <x:c r="G63" s="22" t="str">
        <x:v>engineering allocation</x:v>
      </x:c>
      <x:c r="H63" s="22" t="str">
        <x:v>PASS</x:v>
      </x:c>
      <x:c r="I63" s="22" t="str"/>
    </x:row>
    <x:row r="64" ht="118.80000305175781" hidden="0" customHeight="1">
      <x:c r="A64" s="22" t="str">
        <x:v>04_GBT_Allocation</x:v>
      </x:c>
      <x:c r="B64" s="22" t="str">
        <x:v>pf_handling</x:v>
      </x:c>
      <x:c r="C64" s="22" t="str">
        <x:v>Keep product target; add 0.98 rated and 0.95 half-load compliance limits</x:v>
      </x:c>
      <x:c r="D64" s="22" t="str"/>
      <x:c r="E64" s="22" t="str"/>
      <x:c r="F64" s="22" t="str"/>
      <x:c r="G64" s="22" t="str">
        <x:v>GB/T 40432—2021 Table 2</x:v>
      </x:c>
      <x:c r="H64" s="22" t="str">
        <x:v>PASS</x:v>
      </x:c>
      <x:c r="I64" s="22" t="str"/>
    </x:row>
    <x:row r="65" ht="118.80000305175781" hidden="0" customHeight="1">
      <x:c r="A65" s="22" t="str">
        <x:v>04_GBT_Allocation</x:v>
      </x:c>
      <x:c r="B65" s="22" t="str">
        <x:v>efficiency_handling</x:v>
      </x:c>
      <x:c r="C65" s="22" t="str">
        <x:v>Keep worst-case sizing efficiency; add E1 average-efficiency threshold 0.94</x:v>
      </x:c>
      <x:c r="D65" s="22" t="str"/>
      <x:c r="E65" s="22" t="str"/>
      <x:c r="F65" s="22" t="str"/>
      <x:c r="G65" s="22" t="str">
        <x:v>GB/T 40432—2021 Table 3</x:v>
      </x:c>
      <x:c r="H65" s="22" t="str">
        <x:v>PASS</x:v>
      </x:c>
      <x:c r="I65" s="22" t="str"/>
    </x:row>
    <x:row r="66" ht="105.5999984741211" hidden="0" customHeight="1">
      <x:c r="A66" s="22" t="str">
        <x:v>04_GBT_Allocation</x:v>
      </x:c>
      <x:c r="B66" s="22" t="str">
        <x:v>vdc_accuracy_handling</x:v>
      </x:c>
      <x:c r="C66" s="22" t="str">
        <x:v>Keep sensing-chain target &lt;=0.5%FS; standard whole-product limit is ±1%</x:v>
      </x:c>
      <x:c r="D66" s="22" t="str"/>
      <x:c r="E66" s="22" t="str"/>
      <x:c r="F66" s="22" t="str"/>
      <x:c r="G66" s="22" t="str">
        <x:v>GB/T 40432—2021 §4.2.6</x:v>
      </x:c>
      <x:c r="H66" s="22" t="str">
        <x:v>PASS</x:v>
      </x:c>
      <x:c r="I66" s="22" t="str"/>
    </x:row>
    <x:row r="67" ht="132" hidden="0" customHeight="1">
      <x:c r="A67" s="22" t="str">
        <x:v>04_GBT_Allocation</x:v>
      </x:c>
      <x:c r="B67" s="22" t="str">
        <x:v>idc_accuracy_handling</x:v>
      </x:c>
      <x:c r="C67" s="22" t="str">
        <x:v>Keep sensing-chain target &lt;=0.5%FS; add whole-product piecewise 5% / 0.5 A limits</x:v>
      </x:c>
      <x:c r="D67" s="22" t="str"/>
      <x:c r="E67" s="22" t="str"/>
      <x:c r="F67" s="22" t="str"/>
      <x:c r="G67" s="22" t="str">
        <x:v>GB/T 40432—2021 §4.2.7</x:v>
      </x:c>
      <x:c r="H67" s="22" t="str">
        <x:v>PASS</x:v>
      </x:c>
      <x:c r="I67" s="22" t="str"/>
    </x:row>
    <x:row r="68" ht="132" hidden="0" customHeight="1">
      <x:c r="A68" s="22" t="str">
        <x:v>04_GBT_Allocation</x:v>
      </x:c>
      <x:c r="B68" s="22" t="str">
        <x:v>ripple_handling</x:v>
      </x:c>
      <x:c r="C68" s="22" t="str">
        <x:v>Add 5% whole-product ripple test; do not replace ADC/RC bandwidth</x:v>
      </x:c>
      <x:c r="D68" s="22" t="str"/>
      <x:c r="E68" s="22" t="str"/>
      <x:c r="F68" s="22" t="str"/>
      <x:c r="G68" s="22" t="str">
        <x:v>GB/T 40432—2021 §4.2.8/§5.3.9</x:v>
      </x:c>
      <x:c r="H68" s="22" t="str">
        <x:v>PASS</x:v>
      </x:c>
      <x:c r="I68" s="22" t="str"/>
    </x:row>
    <x:row r="69" ht="145.1999969482422" hidden="0" customHeight="1">
      <x:c r="A69" s="22" t="str">
        <x:v>04_GBT_Allocation</x:v>
      </x:c>
      <x:c r="B69" s="22" t="str">
        <x:v>scope_bandwidth_handling</x:v>
      </x:c>
      <x:c r="C69" s="22" t="str">
        <x:v>External test-equipment setting only; do not map to F29H85x ADC bandwidth</x:v>
      </x:c>
      <x:c r="D69" s="22" t="str"/>
      <x:c r="E69" s="22" t="str"/>
      <x:c r="F69" s="22" t="str"/>
      <x:c r="G69" s="22" t="str">
        <x:v>GB/T 40432—2021 §5.3.9</x:v>
      </x:c>
      <x:c r="H69" s="22" t="str">
        <x:v>PASS</x:v>
      </x:c>
      <x:c r="I69" s="22" t="str"/>
    </x:row>
    <x:row r="70" ht="132" hidden="0" customHeight="1">
      <x:c r="A70" s="22" t="str">
        <x:v>04_GBT_Allocation</x:v>
      </x:c>
      <x:c r="B70" s="22" t="str">
        <x:v>inrush_handling</x:v>
      </x:c>
      <x:c r="C70" s="22" t="str">
        <x:v>Use 1.20 pu as a compliance range floor; retain larger overload/fault margin</x:v>
      </x:c>
      <x:c r="D70" s="22" t="str"/>
      <x:c r="E70" s="22" t="str"/>
      <x:c r="F70" s="22" t="str"/>
      <x:c r="G70" s="22" t="str">
        <x:v>GB/T 40432—2021 §4.2.2</x:v>
      </x:c>
      <x:c r="H70" s="22" t="str">
        <x:v>PASS</x:v>
      </x:c>
      <x:c r="I70" s="22" t="str"/>
    </x:row>
    <x:row r="71" ht="118.80000305175781" hidden="0" customHeight="1">
      <x:c r="A71" s="22" t="str">
        <x:v>04_GBT_Allocation</x:v>
      </x:c>
      <x:c r="B71" s="22" t="str">
        <x:v>phase_deviation_handling</x:v>
      </x:c>
      <x:c r="C71" s="22" t="str">
        <x:v>Add as grid test case; do not replace ADC inter-channel skew target</x:v>
      </x:c>
      <x:c r="D71" s="22" t="str"/>
      <x:c r="E71" s="22" t="str"/>
      <x:c r="F71" s="22" t="str"/>
      <x:c r="G71" s="22" t="str">
        <x:v>GB/T 40432—2021 §4.2.1.4</x:v>
      </x:c>
      <x:c r="H71" s="22" t="str">
        <x:v>PASS</x:v>
      </x:c>
      <x:c r="I71" s="22" t="str"/>
    </x:row>
    <x:row r="72" ht="145.1999969482422" hidden="0" customHeight="1">
      <x:c r="A72" s="22" t="str">
        <x:v>04_GBT_Allocation</x:v>
      </x:c>
      <x:c r="B72" s="22" t="str">
        <x:v>temperature_handling</x:v>
      </x:c>
      <x:c r="C72" s="22" t="str">
        <x:v>Separate vehicle ambient/storage tests from component -40…125 °C error-budget range</x:v>
      </x:c>
      <x:c r="D72" s="22" t="str"/>
      <x:c r="E72" s="22" t="str"/>
      <x:c r="F72" s="22" t="str"/>
      <x:c r="G72" s="22" t="str">
        <x:v>GB/T 40432—2021 Table 8</x:v>
      </x:c>
      <x:c r="H72" s="22" t="str">
        <x:v>PASS</x:v>
      </x:c>
      <x:c r="I72" s="22" t="str"/>
    </x:row>
    <x:row r="73" ht="145.1999969482422" hidden="0" customHeight="1">
      <x:c r="A73" s="22" t="str">
        <x:v>04_GBT_Allocation</x:v>
      </x:c>
      <x:c r="B73" s="22" t="str">
        <x:v>emc_handling</x:v>
      </x:c>
      <x:c r="C73" s="22" t="str">
        <x:v>Add transient withstand requirements; do not enlarge linear sensing range to kV values</x:v>
      </x:c>
      <x:c r="D73" s="22" t="str"/>
      <x:c r="E73" s="22" t="str"/>
      <x:c r="F73" s="22" t="str"/>
      <x:c r="G73" s="22" t="str">
        <x:v>GB/T 40432—2021 §4.5.2</x:v>
      </x:c>
      <x:c r="H73" s="22" t="str">
        <x:v>PASS</x:v>
      </x:c>
      <x:c r="I73" s="22" t="str"/>
    </x:row>
    <x:row r="74" ht="39.599998474121094" hidden="0" customHeight="1">
      <x:c r="A74" s="22" t="str">
        <x:v>07_GBT_Test_Equipment</x:v>
      </x:c>
      <x:c r="B74" s="22" t="str">
        <x:v>sensor_validation_error_level_percent</x:v>
      </x:c>
      <x:c r="C74" s="22" t="n">
        <x:v>0.5</x:v>
      </x:c>
      <x:c r="D74" s="22" t="str">
        <x:v>%</x:v>
      </x:c>
      <x:c r="E74" s="22" t="str"/>
      <x:c r="F74" s="22" t="str"/>
      <x:c r="G74" s="22" t="str">
        <x:v>channel configurations</x:v>
      </x:c>
      <x:c r="H74" s="22" t="str">
        <x:v>PASS</x:v>
      </x:c>
      <x:c r="I74" s="22" t="str"/>
    </x:row>
    <x:row r="75" ht="52.79999923706055" hidden="0" customHeight="1">
      <x:c r="A75" s="22" t="str">
        <x:v>07_GBT_Test_Equipment</x:v>
      </x:c>
      <x:c r="B75" s="22" t="str">
        <x:v>sensor_validation_instrument_class</x:v>
      </x:c>
      <x:c r="C75" s="22" t="str">
        <x:v>0.1 class</x:v>
      </x:c>
      <x:c r="D75" s="22" t="str"/>
      <x:c r="E75" s="22" t="str"/>
      <x:c r="F75" s="22" t="str"/>
      <x:c r="G75" s="22" t="str">
        <x:v>GB/T 40432—2021 Table 9</x:v>
      </x:c>
      <x:c r="H75" s="22" t="str">
        <x:v>PASS</x:v>
      </x:c>
      <x:c r="I75" s="22" t="str">
        <x:v>Recommended digital resolution: 6.5 digit.</x:v>
      </x:c>
    </x:row>
    <x:row r="76" ht="52.79999923706055" hidden="0" customHeight="1">
      <x:c r="A76" s="22" t="str">
        <x:v>07_GBT_Test_Equipment</x:v>
      </x:c>
      <x:c r="B76" s="22" t="str">
        <x:v>voltage_error_test_instrument_class</x:v>
      </x:c>
      <x:c r="C76" s="22" t="str">
        <x:v>0.2 class</x:v>
      </x:c>
      <x:c r="D76" s="22" t="str"/>
      <x:c r="E76" s="22" t="str"/>
      <x:c r="F76" s="22" t="str"/>
      <x:c r="G76" s="22" t="str">
        <x:v>GB/T 40432—2021 Table 9</x:v>
      </x:c>
      <x:c r="H76" s="22" t="str">
        <x:v>PASS</x:v>
      </x:c>
      <x:c r="I76" s="22" t="str">
        <x:v>Digital resolution: 5.5 digit.</x:v>
      </x:c>
    </x:row>
    <x:row r="77" ht="52.79999923706055" hidden="0" customHeight="1">
      <x:c r="A77" s="22" t="str">
        <x:v>07_GBT_Test_Equipment</x:v>
      </x:c>
      <x:c r="B77" s="22" t="str">
        <x:v>current_error_test_instrument_class</x:v>
      </x:c>
      <x:c r="C77" s="22" t="str">
        <x:v>0.5 class</x:v>
      </x:c>
      <x:c r="D77" s="22" t="str"/>
      <x:c r="E77" s="22" t="str"/>
      <x:c r="F77" s="22" t="str"/>
      <x:c r="G77" s="22" t="str">
        <x:v>GB/T 40432—2021 Table 9</x:v>
      </x:c>
      <x:c r="H77" s="22" t="str">
        <x:v>PASS</x:v>
      </x:c>
      <x:c r="I77" s="22" t="str">
        <x:v>Digital resolution: 4.5 digit.</x:v>
      </x:c>
    </x:row>
    <x:row r="78" ht="39.599998474121094" hidden="0" customHeight="1">
      <x:c r="A78" s="22" t="str">
        <x:v>07_GBT_Test_Equipment</x:v>
      </x:c>
      <x:c r="B78" s="22" t="str">
        <x:v>temperature_instrument_error_c</x:v>
      </x:c>
      <x:c r="C78" s="22" t="n">
        <x:v>1</x:v>
      </x:c>
      <x:c r="D78" s="22" t="str">
        <x:v>±°C</x:v>
      </x:c>
      <x:c r="E78" s="22" t="str"/>
      <x:c r="F78" s="22" t="str"/>
      <x:c r="G78" s="22" t="str">
        <x:v>GB/T 40432—2021 §5.1.2</x:v>
      </x:c>
      <x:c r="H78" s="22" t="str">
        <x:v>PASS</x:v>
      </x:c>
      <x:c r="I78" s="22" t="str"/>
    </x:row>
    <x:row r="79" ht="39.599998474121094" hidden="0" customHeight="1">
      <x:c r="A79" s="22" t="str">
        <x:v>07_GBT_Test_Equipment</x:v>
      </x:c>
      <x:c r="B79" s="22" t="str">
        <x:v>time_instrument_relative_error_percent</x:v>
      </x:c>
      <x:c r="C79" s="22" t="n">
        <x:v>1</x:v>
      </x:c>
      <x:c r="D79" s="22" t="str">
        <x:v>%</x:v>
      </x:c>
      <x:c r="E79" s="22" t="str"/>
      <x:c r="F79" s="22" t="str"/>
      <x:c r="G79" s="22" t="str">
        <x:v>GB/T 40432—2021 §5.1.2</x:v>
      </x:c>
      <x:c r="H79" s="22" t="str">
        <x:v>PASS</x:v>
      </x:c>
      <x:c r="I79" s="22" t="str"/>
    </x:row>
    <x:row r="80" ht="39.599998474121094" hidden="0" customHeight="1">
      <x:c r="A80" s="22" t="str">
        <x:v>07_GBT_Test_Equipment</x:v>
      </x:c>
      <x:c r="B80" s="22" t="str">
        <x:v>chamber_temperature_control_error_c</x:v>
      </x:c>
      <x:c r="C80" s="22" t="n">
        <x:v>2</x:v>
      </x:c>
      <x:c r="D80" s="22" t="str">
        <x:v>±°C</x:v>
      </x:c>
      <x:c r="E80" s="22" t="str"/>
      <x:c r="F80" s="22" t="str"/>
      <x:c r="G80" s="22" t="str">
        <x:v>GB/T 40432—2021 §5.1.2</x:v>
      </x:c>
      <x:c r="H80" s="22" t="str">
        <x:v>PASS</x:v>
      </x:c>
      <x:c r="I80" s="22" t="str"/>
    </x:row>
    <x:row r="81" ht="39.599998474121094" hidden="0" customHeight="1">
      <x:c r="A81" s="22" t="str">
        <x:v>07_GBT_Test_Equipment</x:v>
      </x:c>
      <x:c r="B81" s="22" t="str">
        <x:v>chamber_humidity_control_error_percent</x:v>
      </x:c>
      <x:c r="C81" s="22" t="n">
        <x:v>3</x:v>
      </x:c>
      <x:c r="D81" s="22" t="str">
        <x:v>±%RH</x:v>
      </x:c>
      <x:c r="E81" s="22" t="str"/>
      <x:c r="F81" s="22" t="str"/>
      <x:c r="G81" s="22" t="str">
        <x:v>GB/T 40432—2021 §5.1.2</x:v>
      </x:c>
      <x:c r="H81" s="22" t="str">
        <x:v>PASS</x:v>
      </x:c>
      <x:c r="I81" s="22" t="str"/>
    </x:row>
    <x:row r="82" ht="39.599998474121094" hidden="0" customHeight="1">
      <x:c r="A82" s="22" t="str">
        <x:v>07_GBT_Test_Equipment</x:v>
      </x:c>
      <x:c r="B82" s="22" t="str">
        <x:v>test_ambient_temperature_c</x:v>
      </x:c>
      <x:c r="C82" s="22" t="str">
        <x:v>18–28</x:v>
      </x:c>
      <x:c r="D82" s="22" t="str">
        <x:v>°C</x:v>
      </x:c>
      <x:c r="E82" s="22" t="str"/>
      <x:c r="F82" s="22" t="str"/>
      <x:c r="G82" s="22" t="str">
        <x:v>GB/T 40432—2021 §5.1.1</x:v>
      </x:c>
      <x:c r="H82" s="22" t="str">
        <x:v>PASS</x:v>
      </x:c>
      <x:c r="I82" s="22" t="str"/>
    </x:row>
    <x:row r="83" ht="39.599998474121094" hidden="0" customHeight="1">
      <x:c r="A83" s="22" t="str">
        <x:v>07_GBT_Test_Equipment</x:v>
      </x:c>
      <x:c r="B83" s="22" t="str">
        <x:v>test_relative_humidity_percent</x:v>
      </x:c>
      <x:c r="C83" s="22" t="str">
        <x:v>25–75</x:v>
      </x:c>
      <x:c r="D83" s="22" t="str">
        <x:v>%RH</x:v>
      </x:c>
      <x:c r="E83" s="22" t="str"/>
      <x:c r="F83" s="22" t="str"/>
      <x:c r="G83" s="22" t="str">
        <x:v>GB/T 40432—2021 §5.1.1</x:v>
      </x:c>
      <x:c r="H83" s="22" t="str">
        <x:v>PASS</x:v>
      </x:c>
      <x:c r="I83" s="22" t="str"/>
    </x:row>
    <x:row r="84" ht="39.599998474121094" hidden="0" customHeight="1">
      <x:c r="A84" s="22" t="str">
        <x:v>07_GBT_Test_Equipment</x:v>
      </x:c>
      <x:c r="B84" s="22" t="str">
        <x:v>test_pressure_kpa</x:v>
      </x:c>
      <x:c r="C84" s="22" t="str">
        <x:v>86–106</x:v>
      </x:c>
      <x:c r="D84" s="22" t="str">
        <x:v>kPa</x:v>
      </x:c>
      <x:c r="E84" s="22" t="str"/>
      <x:c r="F84" s="22" t="str"/>
      <x:c r="G84" s="22" t="str">
        <x:v>GB/T 40432—2021 §5.1.1</x:v>
      </x:c>
      <x:c r="H84" s="22" t="str">
        <x:v>PASS</x:v>
      </x:c>
      <x:c r="I84" s="22" t="str"/>
    </x:row>
    <x:row r="85" ht="39.599998474121094" hidden="0" customHeight="1">
      <x:c r="A85" s="22" t="str">
        <x:v>07_GBT_Test_Equipment</x:v>
      </x:c>
      <x:c r="B85" s="22" t="str">
        <x:v>liquid_coolant_inlet_temperature_c</x:v>
      </x:c>
      <x:c r="C85" s="22" t="str">
        <x:v>40±2</x:v>
      </x:c>
      <x:c r="D85" s="22" t="str">
        <x:v>°C</x:v>
      </x:c>
      <x:c r="E85" s="22" t="str"/>
      <x:c r="F85" s="22" t="str"/>
      <x:c r="G85" s="22" t="str">
        <x:v>GB/T 40432—2021 §5.1.1</x:v>
      </x:c>
      <x:c r="H85" s="22" t="str">
        <x:v>PASS</x:v>
      </x:c>
      <x:c r="I85" s="22" t="str"/>
    </x:row>
    <x:row r="86" ht="52.79999923706055" hidden="0" customHeight="1">
      <x:c r="A86" s="22" t="str">
        <x:v>08_GBT_Safety_EMC</x:v>
      </x:c>
      <x:c r="B86" s="22" t="str">
        <x:v>storage_temperature_min_c</x:v>
      </x:c>
      <x:c r="C86" s="22" t="n">
        <x:v>-40</x:v>
      </x:c>
      <x:c r="D86" s="22" t="str">
        <x:v>°C</x:v>
      </x:c>
      <x:c r="E86" s="22" t="str"/>
      <x:c r="F86" s="22" t="str"/>
      <x:c r="G86" s="22" t="str">
        <x:v>GB/T 40432—2021 Table 8</x:v>
      </x:c>
      <x:c r="H86" s="22" t="str">
        <x:v>PASS</x:v>
      </x:c>
      <x:c r="I86" s="22" t="str"/>
    </x:row>
    <x:row r="87" ht="52.79999923706055" hidden="0" customHeight="1">
      <x:c r="A87" s="22" t="str">
        <x:v>08_GBT_Safety_EMC</x:v>
      </x:c>
      <x:c r="B87" s="22" t="str">
        <x:v>operating_temperature_min_c</x:v>
      </x:c>
      <x:c r="C87" s="22" t="n">
        <x:v>-20</x:v>
      </x:c>
      <x:c r="D87" s="22" t="str">
        <x:v>°C</x:v>
      </x:c>
      <x:c r="E87" s="22" t="str"/>
      <x:c r="F87" s="22" t="str"/>
      <x:c r="G87" s="22" t="str">
        <x:v>GB/T 40432—2021 Table 8</x:v>
      </x:c>
      <x:c r="H87" s="22" t="str">
        <x:v>PASS</x:v>
      </x:c>
      <x:c r="I87" s="22" t="str"/>
    </x:row>
    <x:row r="88" ht="52.79999923706055" hidden="0" customHeight="1">
      <x:c r="A88" s="22" t="str">
        <x:v>08_GBT_Safety_EMC</x:v>
      </x:c>
      <x:c r="B88" s="22" t="str">
        <x:v>storage_temperature_max_c</x:v>
      </x:c>
      <x:c r="C88" s="22" t="n">
        <x:v>85</x:v>
      </x:c>
      <x:c r="D88" s="22" t="str">
        <x:v>°C</x:v>
      </x:c>
      <x:c r="E88" s="22" t="str"/>
      <x:c r="F88" s="22" t="str"/>
      <x:c r="G88" s="22" t="str">
        <x:v>GB/T 40432—2021 Table 8</x:v>
      </x:c>
      <x:c r="H88" s="22" t="str">
        <x:v>PASS</x:v>
      </x:c>
      <x:c r="I88" s="22" t="str"/>
    </x:row>
    <x:row r="89" ht="52.79999923706055" hidden="0" customHeight="1">
      <x:c r="A89" s="22" t="str">
        <x:v>08_GBT_Safety_EMC</x:v>
      </x:c>
      <x:c r="B89" s="22" t="str">
        <x:v>operating_temperature_max_liquid_c</x:v>
      </x:c>
      <x:c r="C89" s="22" t="n">
        <x:v>65</x:v>
      </x:c>
      <x:c r="D89" s="22" t="str">
        <x:v>°C</x:v>
      </x:c>
      <x:c r="E89" s="22" t="str"/>
      <x:c r="F89" s="22" t="str"/>
      <x:c r="G89" s="22" t="str">
        <x:v>GB/T 40432—2021 Table 8</x:v>
      </x:c>
      <x:c r="H89" s="22" t="str">
        <x:v>PASS</x:v>
      </x:c>
      <x:c r="I89" s="22" t="str"/>
    </x:row>
    <x:row r="90" ht="52.79999923706055" hidden="0" customHeight="1">
      <x:c r="A90" s="22" t="str">
        <x:v>08_GBT_Safety_EMC</x:v>
      </x:c>
      <x:c r="B90" s="22" t="str">
        <x:v>operating_temperature_max_air_c</x:v>
      </x:c>
      <x:c r="C90" s="22" t="n">
        <x:v>55</x:v>
      </x:c>
      <x:c r="D90" s="22" t="str">
        <x:v>°C</x:v>
      </x:c>
      <x:c r="E90" s="22" t="str"/>
      <x:c r="F90" s="22" t="str"/>
      <x:c r="G90" s="22" t="str">
        <x:v>GB/T 40432—2021 Table 8</x:v>
      </x:c>
      <x:c r="H90" s="22" t="str">
        <x:v>PASS</x:v>
      </x:c>
      <x:c r="I90" s="22" t="str"/>
    </x:row>
    <x:row r="91" ht="52.79999923706055" hidden="0" customHeight="1">
      <x:c r="A91" s="22" t="str">
        <x:v>08_GBT_Safety_EMC</x:v>
      </x:c>
      <x:c r="B91" s="22" t="str">
        <x:v>configured_component_temperature_min_c</x:v>
      </x:c>
      <x:c r="C91" s="22" t="n">
        <x:v>-40</x:v>
      </x:c>
      <x:c r="D91" s="22" t="str">
        <x:v>°C</x:v>
      </x:c>
      <x:c r="E91" s="22" t="str"/>
      <x:c r="F91" s="22" t="str"/>
      <x:c r="G91" s="22" t="str">
        <x:v>environment configuration</x:v>
      </x:c>
      <x:c r="H91" s="22" t="str">
        <x:v>PASS</x:v>
      </x:c>
      <x:c r="I91" s="22" t="str"/>
    </x:row>
    <x:row r="92" ht="52.79999923706055" hidden="0" customHeight="1">
      <x:c r="A92" s="22" t="str">
        <x:v>08_GBT_Safety_EMC</x:v>
      </x:c>
      <x:c r="B92" s="22" t="str">
        <x:v>configured_component_temperature_max_c</x:v>
      </x:c>
      <x:c r="C92" s="22" t="n">
        <x:v>125</x:v>
      </x:c>
      <x:c r="D92" s="22" t="str">
        <x:v>°C</x:v>
      </x:c>
      <x:c r="E92" s="22" t="str"/>
      <x:c r="F92" s="22" t="str"/>
      <x:c r="G92" s="22" t="str">
        <x:v>environment configuration</x:v>
      </x:c>
      <x:c r="H92" s="22" t="str">
        <x:v>PASS</x:v>
      </x:c>
      <x:c r="I92" s="22" t="str"/>
    </x:row>
    <x:row r="93" ht="52.79999923706055" hidden="0" customHeight="1">
      <x:c r="A93" s="22" t="str">
        <x:v>08_GBT_Safety_EMC</x:v>
      </x:c>
      <x:c r="B93" s="22" t="str">
        <x:v>relative_humidity_range_percent</x:v>
      </x:c>
      <x:c r="C93" s="22" t="str">
        <x:v>5–95</x:v>
      </x:c>
      <x:c r="D93" s="22" t="str">
        <x:v>%RH</x:v>
      </x:c>
      <x:c r="E93" s="22" t="str"/>
      <x:c r="F93" s="22" t="str"/>
      <x:c r="G93" s="22" t="str">
        <x:v>GB/T 40432—2021 §4.6.1.2</x:v>
      </x:c>
      <x:c r="H93" s="22" t="str">
        <x:v>PASS</x:v>
      </x:c>
      <x:c r="I93" s="22" t="str"/>
    </x:row>
    <x:row r="94" ht="52.79999923706055" hidden="0" customHeight="1">
      <x:c r="A94" s="22" t="str">
        <x:v>08_GBT_Safety_EMC</x:v>
      </x:c>
      <x:c r="B94" s="22" t="str">
        <x:v>altitude_max_m</x:v>
      </x:c>
      <x:c r="C94" s="22" t="n">
        <x:v>2000</x:v>
      </x:c>
      <x:c r="D94" s="22" t="str">
        <x:v>m</x:v>
      </x:c>
      <x:c r="E94" s="22" t="str"/>
      <x:c r="F94" s="22" t="str"/>
      <x:c r="G94" s="22" t="str">
        <x:v>GB/T 40432—2021 §4.6.1.3</x:v>
      </x:c>
      <x:c r="H94" s="22" t="str">
        <x:v>PASS</x:v>
      </x:c>
      <x:c r="I94" s="22" t="str"/>
    </x:row>
    <x:row r="95" ht="39.599998474121094" hidden="0" customHeight="1">
      <x:c r="A95" s="22" t="str">
        <x:v>08_GBT_Safety_EMC</x:v>
      </x:c>
      <x:c r="B95" s="22" t="str">
        <x:v>insulation_resistance_min_ohm</x:v>
      </x:c>
      <x:c r="C95" s="22" t="n">
        <x:v>10000000</x:v>
      </x:c>
      <x:c r="D95" s="22" t="str">
        <x:v>ohm</x:v>
      </x:c>
      <x:c r="E95" s="22" t="str"/>
      <x:c r="F95" s="22" t="str"/>
      <x:c r="G95" s="22" t="str">
        <x:v>GB/T 40432—2021 §4.4.1</x:v>
      </x:c>
      <x:c r="H95" s="22" t="str">
        <x:v>PASS</x:v>
      </x:c>
      <x:c r="I95" s="22" t="str"/>
    </x:row>
    <x:row r="96" ht="79.19999694824219" hidden="0" customHeight="1">
      <x:c r="A96" s="22" t="str">
        <x:v>08_GBT_Safety_EMC</x:v>
      </x:c>
      <x:c r="B96" s="22" t="str">
        <x:v>dielectric_udmax_v</x:v>
      </x:c>
      <x:c r="C96" s="22" t="n">
        <x:v>420</x:v>
      </x:c>
      <x:c r="D96" s="22" t="str">
        <x:v>V</x:v>
      </x:c>
      <x:c r="E96" s="22" t="str"/>
      <x:c r="F96" s="22" t="str"/>
      <x:c r="G96" s="22" t="str">
        <x:v>standard_profile.safety.udmax_v or system.vdc_max_v</x:v>
      </x:c>
      <x:c r="H96" s="22" t="str">
        <x:v>PASS</x:v>
      </x:c>
      <x:c r="I96" s="22" t="str"/>
    </x:row>
    <x:row r="97" ht="52.79999923706055" hidden="0" customHeight="1">
      <x:c r="A97" s="22" t="str">
        <x:v>08_GBT_Safety_EMC</x:v>
      </x:c>
      <x:c r="B97" s="22" t="str">
        <x:v>dielectric_test_voltage_rms_v</x:v>
      </x:c>
      <x:c r="C97" s="22" t="n">
        <x:v>2000</x:v>
      </x:c>
      <x:c r="D97" s="22" t="str">
        <x:v>V RMS</x:v>
      </x:c>
      <x:c r="E97" s="22" t="str"/>
      <x:c r="F97" s="22" t="str"/>
      <x:c r="G97" s="22" t="str">
        <x:v>GB/T 40432—2021 Table 4</x:v>
      </x:c>
      <x:c r="H97" s="22" t="str">
        <x:v>PASS</x:v>
      </x:c>
      <x:c r="I97" s="22" t="str"/>
    </x:row>
    <x:row r="98" ht="52.79999923706055" hidden="0" customHeight="1">
      <x:c r="A98" s="22" t="str">
        <x:v>08_GBT_Safety_EMC</x:v>
      </x:c>
      <x:c r="B98" s="22" t="str">
        <x:v>dielectric_test_voltage_dc_equiv_v</x:v>
      </x:c>
      <x:c r="C98" s="22" t="n">
        <x:v>2800</x:v>
      </x:c>
      <x:c r="D98" s="22" t="str">
        <x:v>V DC</x:v>
      </x:c>
      <x:c r="E98" s="22" t="str">
        <x:v>1.4*Vac_rms</x:v>
      </x:c>
      <x:c r="F98" s="22" t="str"/>
      <x:c r="G98" s="22" t="str">
        <x:v>GB/T 40432—2021 Table 4 Note 2</x:v>
      </x:c>
      <x:c r="H98" s="22" t="str">
        <x:v>PASS</x:v>
      </x:c>
      <x:c r="I98" s="22" t="str"/>
    </x:row>
    <x:row r="99" ht="39.599998474121094" hidden="0" customHeight="1">
      <x:c r="A99" s="22" t="str">
        <x:v>08_GBT_Safety_EMC</x:v>
      </x:c>
      <x:c r="B99" s="22" t="str">
        <x:v>dielectric_test_duration_s</x:v>
      </x:c>
      <x:c r="C99" s="22" t="n">
        <x:v>60</x:v>
      </x:c>
      <x:c r="D99" s="22" t="str">
        <x:v>s</x:v>
      </x:c>
      <x:c r="E99" s="22" t="str"/>
      <x:c r="F99" s="22" t="str"/>
      <x:c r="G99" s="22" t="str">
        <x:v>GB/T 40432—2021 §4.4.2</x:v>
      </x:c>
      <x:c r="H99" s="22" t="str">
        <x:v>PASS</x:v>
      </x:c>
      <x:c r="I99" s="22" t="str"/>
    </x:row>
    <x:row r="100" ht="39.599998474121094" hidden="0" customHeight="1">
      <x:c r="A100" s="22" t="str">
        <x:v>08_GBT_Safety_EMC</x:v>
      </x:c>
      <x:c r="B100" s="22" t="str">
        <x:v>contact_current_max_ma</x:v>
      </x:c>
      <x:c r="C100" s="22" t="n">
        <x:v>3.5</x:v>
      </x:c>
      <x:c r="D100" s="22" t="str">
        <x:v>mA</x:v>
      </x:c>
      <x:c r="E100" s="22" t="str"/>
      <x:c r="F100" s="22" t="str"/>
      <x:c r="G100" s="22" t="str">
        <x:v>GB/T 40432—2021 §4.4.3</x:v>
      </x:c>
      <x:c r="H100" s="22" t="str">
        <x:v>PASS</x:v>
      </x:c>
      <x:c r="I100" s="22" t="str"/>
    </x:row>
    <x:row r="101" ht="52.79999923706055" hidden="0" customHeight="1">
      <x:c r="A101" s="22" t="str">
        <x:v>08_GBT_Safety_EMC</x:v>
      </x:c>
      <x:c r="B101" s="22" t="str">
        <x:v>actual_isolation_withstand_rms_v</x:v>
      </x:c>
      <x:c r="C101" s="22"/>
      <x:c r="D101" s="22" t="str">
        <x:v>V RMS</x:v>
      </x:c>
      <x:c r="E101" s="22" t="str"/>
      <x:c r="F101" s="22" t="str"/>
      <x:c r="G101" s="22" t="str">
        <x:v>missing component/system input</x:v>
      </x:c>
      <x:c r="H101" s="22" t="str">
        <x:v>NOT_EVALUATED</x:v>
      </x:c>
      <x:c r="I101" s="22" t="str"/>
    </x:row>
    <x:row r="102" ht="52.79999923706055" hidden="0" customHeight="1">
      <x:c r="A102" s="22" t="str">
        <x:v>08_GBT_Safety_EMC</x:v>
      </x:c>
      <x:c r="B102" s="22" t="str">
        <x:v>surge_differential_v</x:v>
      </x:c>
      <x:c r="C102" s="22" t="n">
        <x:v>1000</x:v>
      </x:c>
      <x:c r="D102" s="22" t="str">
        <x:v>±V</x:v>
      </x:c>
      <x:c r="E102" s="22" t="str"/>
      <x:c r="F102" s="22" t="str"/>
      <x:c r="G102" s="22" t="str">
        <x:v>GB/T 40432—2021 Table 6</x:v>
      </x:c>
      <x:c r="H102" s="22" t="str">
        <x:v>PASS</x:v>
      </x:c>
      <x:c r="I102" s="22" t="str"/>
    </x:row>
    <x:row r="103" ht="52.79999923706055" hidden="0" customHeight="1">
      <x:c r="A103" s="22" t="str">
        <x:v>08_GBT_Safety_EMC</x:v>
      </x:c>
      <x:c r="B103" s="22" t="str">
        <x:v>surge_common_mode_v</x:v>
      </x:c>
      <x:c r="C103" s="22" t="n">
        <x:v>2000</x:v>
      </x:c>
      <x:c r="D103" s="22" t="str">
        <x:v>±V</x:v>
      </x:c>
      <x:c r="E103" s="22" t="str"/>
      <x:c r="F103" s="22" t="str"/>
      <x:c r="G103" s="22" t="str">
        <x:v>GB/T 40432—2021 Table 6</x:v>
      </x:c>
      <x:c r="H103" s="22" t="str">
        <x:v>PASS</x:v>
      </x:c>
      <x:c r="I103" s="22" t="str"/>
    </x:row>
    <x:row r="104" ht="52.79999923706055" hidden="0" customHeight="1">
      <x:c r="A104" s="22" t="str">
        <x:v>08_GBT_Safety_EMC</x:v>
      </x:c>
      <x:c r="B104" s="22" t="str">
        <x:v>eft_level</x:v>
      </x:c>
      <x:c r="C104" s="22" t="str">
        <x:v>Level 3, 5 kHz repetition</x:v>
      </x:c>
      <x:c r="D104" s="22" t="str"/>
      <x:c r="E104" s="22" t="str"/>
      <x:c r="F104" s="22" t="str"/>
      <x:c r="G104" s="22" t="str">
        <x:v>GB/T 40432—2021 §4.5.2.3</x:v>
      </x:c>
      <x:c r="H104" s="22" t="str">
        <x:v>PASS</x:v>
      </x:c>
      <x:c r="I104" s="22" t="str"/>
    </x:row>
    <x:row r="105" ht="52.79999923706055" hidden="0" customHeight="1">
      <x:c r="A105" s="22" t="str">
        <x:v>08_GBT_Safety_EMC</x:v>
      </x:c>
      <x:c r="B105" s="22" t="str">
        <x:v>radiated_immunity</x:v>
      </x:c>
      <x:c r="C105" s="22" t="str">
        <x:v>75 V/m, 80 MHz–2 GHz</x:v>
      </x:c>
      <x:c r="D105" s="22" t="str"/>
      <x:c r="E105" s="22" t="str"/>
      <x:c r="F105" s="22" t="str"/>
      <x:c r="G105" s="22" t="str">
        <x:v>GB/T 40432—2021 §4.5.2.2</x:v>
      </x:c>
      <x:c r="H105" s="22" t="str">
        <x:v>PASS</x:v>
      </x:c>
      <x:c r="I105" s="22" t="str"/>
    </x:row>
    <x:row r="106" ht="79.19999694824219" hidden="0" customHeight="1">
      <x:c r="A106" s="22" t="str">
        <x:v>08_GBT_Safety_EMC</x:v>
      </x:c>
      <x:c r="B106" s="22" t="str">
        <x:v>esd_powered</x:v>
      </x:c>
      <x:c r="C106" s="22" t="str">
        <x:v>±8 kV contact; ±15 kV air; ±20 kV indirect contact</x:v>
      </x:c>
      <x:c r="D106" s="22" t="str"/>
      <x:c r="E106" s="22" t="str"/>
      <x:c r="F106" s="22" t="str"/>
      <x:c r="G106" s="22" t="str">
        <x:v>GB/T 40432—2021 Table 5</x:v>
      </x:c>
      <x:c r="H106" s="22" t="str">
        <x:v>PASS</x:v>
      </x:c>
      <x:c r="I106" s="22" t="str"/>
    </x:row>
    <x:row r="107" ht="52.79999923706055" hidden="0" customHeight="1">
      <x:c r="A107" s="22" t="str">
        <x:v>08_GBT_Safety_EMC</x:v>
      </x:c>
      <x:c r="B107" s="22" t="str">
        <x:v>esd_unpowered</x:v>
      </x:c>
      <x:c r="C107" s="22" t="str">
        <x:v>±8 kV contact; ±15 kV air</x:v>
      </x:c>
      <x:c r="D107" s="22" t="str"/>
      <x:c r="E107" s="22" t="str"/>
      <x:c r="F107" s="22" t="str"/>
      <x:c r="G107" s="22" t="str">
        <x:v>GB/T 40432—2021 Table 5</x:v>
      </x:c>
      <x:c r="H107" s="22" t="str">
        <x:v>PASS</x:v>
      </x:c>
      <x:c r="I107" s="22" t="str"/>
    </x:row>
    <x:row r="108" ht="52.79999923706055" hidden="0" customHeight="1">
      <x:c r="A108" s="22" t="str">
        <x:v>09_GBT_Inverter</x:v>
      </x:c>
      <x:c r="B108" s="22" t="str">
        <x:v>inverter_output_nominal_v</x:v>
      </x:c>
      <x:c r="C108" s="22" t="n">
        <x:v>220</x:v>
      </x:c>
      <x:c r="D108" s="22" t="str">
        <x:v>V RMS</x:v>
      </x:c>
      <x:c r="E108" s="22" t="str"/>
      <x:c r="F108" s="22" t="str"/>
      <x:c r="G108" s="22" t="str">
        <x:v>GB/T 40432—2021 Table A.1</x:v>
      </x:c>
      <x:c r="H108" s="22" t="str">
        <x:v>PASS</x:v>
      </x:c>
      <x:c r="I108" s="22" t="str"/>
    </x:row>
    <x:row r="109" ht="52.79999923706055" hidden="0" customHeight="1">
      <x:c r="A109" s="22" t="str">
        <x:v>09_GBT_Inverter</x:v>
      </x:c>
      <x:c r="B109" s="22" t="str">
        <x:v>inverter_voltage_accuracy_percent</x:v>
      </x:c>
      <x:c r="C109" s="22" t="n">
        <x:v>5</x:v>
      </x:c>
      <x:c r="D109" s="22" t="str">
        <x:v>±%</x:v>
      </x:c>
      <x:c r="E109" s="22" t="str"/>
      <x:c r="F109" s="22" t="str"/>
      <x:c r="G109" s="22" t="str">
        <x:v>GB/T 40432—2021 §A.1.1.2</x:v>
      </x:c>
      <x:c r="H109" s="22" t="str">
        <x:v>PASS</x:v>
      </x:c>
      <x:c r="I109" s="22" t="str"/>
    </x:row>
    <x:row r="110" ht="52.79999923706055" hidden="0" customHeight="1">
      <x:c r="A110" s="22" t="str">
        <x:v>09_GBT_Inverter</x:v>
      </x:c>
      <x:c r="B110" s="22" t="str">
        <x:v>inverter_frequency_nominal_hz</x:v>
      </x:c>
      <x:c r="C110" s="22" t="n">
        <x:v>50</x:v>
      </x:c>
      <x:c r="D110" s="22" t="str">
        <x:v>Hz</x:v>
      </x:c>
      <x:c r="E110" s="22" t="str"/>
      <x:c r="F110" s="22" t="str"/>
      <x:c r="G110" s="22" t="str">
        <x:v>GB/T 40432—2021 §A.1.1.3</x:v>
      </x:c>
      <x:c r="H110" s="22" t="str">
        <x:v>PASS</x:v>
      </x:c>
      <x:c r="I110" s="22" t="str"/>
    </x:row>
    <x:row r="111" ht="52.79999923706055" hidden="0" customHeight="1">
      <x:c r="A111" s="22" t="str">
        <x:v>09_GBT_Inverter</x:v>
      </x:c>
      <x:c r="B111" s="22" t="str">
        <x:v>inverter_frequency_tolerance_hz</x:v>
      </x:c>
      <x:c r="C111" s="22" t="n">
        <x:v>0.5</x:v>
      </x:c>
      <x:c r="D111" s="22" t="str">
        <x:v>±Hz</x:v>
      </x:c>
      <x:c r="E111" s="22" t="str"/>
      <x:c r="F111" s="22" t="str"/>
      <x:c r="G111" s="22" t="str">
        <x:v>GB/T 40432—2021 §A.1.1.3</x:v>
      </x:c>
      <x:c r="H111" s="22" t="str">
        <x:v>PASS</x:v>
      </x:c>
      <x:c r="I111" s="22" t="str"/>
    </x:row>
    <x:row r="112" ht="52.79999923706055" hidden="0" customHeight="1">
      <x:c r="A112" s="22" t="str">
        <x:v>09_GBT_Inverter</x:v>
      </x:c>
      <x:c r="B112" s="22" t="str">
        <x:v>load_step_voltage_deviation_percent</x:v>
      </x:c>
      <x:c r="C112" s="22" t="n">
        <x:v>15</x:v>
      </x:c>
      <x:c r="D112" s="22" t="str">
        <x:v>±%</x:v>
      </x:c>
      <x:c r="E112" s="22" t="str"/>
      <x:c r="F112" s="22" t="str"/>
      <x:c r="G112" s="22" t="str">
        <x:v>GB/T 40432—2021 §A.1.1.4</x:v>
      </x:c>
      <x:c r="H112" s="22" t="str">
        <x:v>PASS</x:v>
      </x:c>
      <x:c r="I112" s="22" t="str"/>
    </x:row>
    <x:row r="113" ht="52.79999923706055" hidden="0" customHeight="1">
      <x:c r="A113" s="22" t="str">
        <x:v>09_GBT_Inverter</x:v>
      </x:c>
      <x:c r="B113" s="22" t="str">
        <x:v>load_step_recovery_time_ms</x:v>
      </x:c>
      <x:c r="C113" s="22" t="n">
        <x:v>20</x:v>
      </x:c>
      <x:c r="D113" s="22" t="str">
        <x:v>ms</x:v>
      </x:c>
      <x:c r="E113" s="22" t="str"/>
      <x:c r="F113" s="22" t="str"/>
      <x:c r="G113" s="22" t="str">
        <x:v>GB/T 40432—2021 §A.1.1.4</x:v>
      </x:c>
      <x:c r="H113" s="22" t="str">
        <x:v>PASS</x:v>
      </x:c>
      <x:c r="I113" s="22" t="str"/>
    </x:row>
    <x:row r="114" ht="52.79999923706055" hidden="0" customHeight="1">
      <x:c r="A114" s="22" t="str">
        <x:v>09_GBT_Inverter</x:v>
      </x:c>
      <x:c r="B114" s="22" t="str">
        <x:v>voltage_thd_resistive_percent</x:v>
      </x:c>
      <x:c r="C114" s="22" t="n">
        <x:v>5</x:v>
      </x:c>
      <x:c r="D114" s="22" t="str">
        <x:v>%</x:v>
      </x:c>
      <x:c r="E114" s="22" t="str"/>
      <x:c r="F114" s="22" t="str"/>
      <x:c r="G114" s="22" t="str">
        <x:v>GB/T 40432—2021 §A.1.1.5</x:v>
      </x:c>
      <x:c r="H114" s="22" t="str">
        <x:v>PASS</x:v>
      </x:c>
      <x:c r="I114" s="22" t="str"/>
    </x:row>
    <x:row r="115" ht="52.79999923706055" hidden="0" customHeight="1">
      <x:c r="A115" s="22" t="str">
        <x:v>09_GBT_Inverter</x:v>
      </x:c>
      <x:c r="B115" s="22" t="str">
        <x:v>voltage_thd_non_resistive_percent</x:v>
      </x:c>
      <x:c r="C115" s="22" t="n">
        <x:v>8</x:v>
      </x:c>
      <x:c r="D115" s="22" t="str">
        <x:v>%</x:v>
      </x:c>
      <x:c r="E115" s="22" t="str"/>
      <x:c r="F115" s="22" t="str"/>
      <x:c r="G115" s="22" t="str">
        <x:v>GB/T 40432—2021 §A.1.1.9</x:v>
      </x:c>
      <x:c r="H115" s="22" t="str">
        <x:v>PASS</x:v>
      </x:c>
      <x:c r="I115" s="22" t="str"/>
    </x:row>
    <x:row r="116" ht="52.79999923706055" hidden="0" customHeight="1">
      <x:c r="A116" s="22" t="str">
        <x:v>09_GBT_Inverter</x:v>
      </x:c>
      <x:c r="B116" s="22" t="str">
        <x:v>grid_current_dc_component_limit_a</x:v>
      </x:c>
      <x:c r="C116" s="22" t="n">
        <x:v>0.07383779313603875</x:v>
      </x:c>
      <x:c r="D116" s="22" t="str">
        <x:v>A</x:v>
      </x:c>
      <x:c r="E116" s="22" t="str">
        <x:v>max(0.5%*Irated,5mA)</x:v>
      </x:c>
      <x:c r="F116" s="22" t="str"/>
      <x:c r="G116" s="22" t="str">
        <x:v>GB/T 40432—2021 §A.1.1.6</x:v>
      </x:c>
      <x:c r="H116" s="22" t="str">
        <x:v>PASS</x:v>
      </x:c>
      <x:c r="I116" s="22" t="str"/>
    </x:row>
    <x:row r="117" ht="52.79999923706055" hidden="0" customHeight="1">
      <x:c r="A117" s="22" t="str">
        <x:v>09_GBT_Inverter</x:v>
      </x:c>
      <x:c r="B117" s="22" t="str">
        <x:v>inverter_efficiency_min</x:v>
      </x:c>
      <x:c r="C117" s="22" t="n">
        <x:v>0.92</x:v>
      </x:c>
      <x:c r="D117" s="22" t="str">
        <x:v>pu</x:v>
      </x:c>
      <x:c r="E117" s="22" t="str"/>
      <x:c r="F117" s="22" t="str"/>
      <x:c r="G117" s="22" t="str">
        <x:v>GB/T 40432—2021 §A.1.1.7</x:v>
      </x:c>
      <x:c r="H117" s="22" t="str">
        <x:v>PASS</x:v>
      </x:c>
      <x:c r="I117" s="22" t="str"/>
    </x:row>
    <x:row r="118" ht="52.79999923706055" hidden="0" customHeight="1">
      <x:c r="A118" s="22" t="str">
        <x:v>09_GBT_Inverter</x:v>
      </x:c>
      <x:c r="B118" s="22" t="str">
        <x:v>no_load_loss_limit_w</x:v>
      </x:c>
      <x:c r="C118" s="22" t="n">
        <x:v>75</x:v>
      </x:c>
      <x:c r="D118" s="22" t="str">
        <x:v>W</x:v>
      </x:c>
      <x:c r="E118" s="22" t="str">
        <x:v>max(3%*Prated,50W)</x:v>
      </x:c>
      <x:c r="F118" s="22" t="str"/>
      <x:c r="G118" s="22" t="str">
        <x:v>GB/T 40432—2021 §A.1.1.8</x:v>
      </x:c>
      <x:c r="H118" s="22" t="str">
        <x:v>PASS</x:v>
      </x:c>
      <x:c r="I118" s="22" t="str"/>
    </x:row>
    <x:row r="119" ht="26.399999618530273" hidden="0" customHeight="1">
      <x:c r="A119" s="22" t="str">
        <x:v>10_System_Rating</x:v>
      </x:c>
      <x:c r="B119" s="22" t="str">
        <x:v>phase_count</x:v>
      </x:c>
      <x:c r="C119" s="22" t="n">
        <x:v>1</x:v>
      </x:c>
      <x:c r="D119" s="22" t="str">
        <x:v>phase</x:v>
      </x:c>
      <x:c r="E119" s="22" t="str"/>
      <x:c r="F119" s="22" t="str"/>
      <x:c r="G119" s="22" t="str">
        <x:v>configuration</x:v>
      </x:c>
      <x:c r="H119" s="22" t="str">
        <x:v>PASS</x:v>
      </x:c>
      <x:c r="I119" s="22" t="str"/>
    </x:row>
    <x:row r="120" ht="26.399999618530273" hidden="0" customHeight="1">
      <x:c r="A120" s="22" t="str">
        <x:v>10_System_Rating</x:v>
      </x:c>
      <x:c r="B120" s="22" t="str">
        <x:v>ac_voltage_basis</x:v>
      </x:c>
      <x:c r="C120" s="22" t="str">
        <x:v>single_phase</x:v>
      </x:c>
      <x:c r="D120" s="22" t="str"/>
      <x:c r="E120" s="22" t="str"/>
      <x:c r="F120" s="22" t="str"/>
      <x:c r="G120" s="22" t="str">
        <x:v>configuration</x:v>
      </x:c>
      <x:c r="H120" s="22" t="str">
        <x:v>PASS</x:v>
      </x:c>
      <x:c r="I120" s="22" t="str"/>
    </x:row>
    <x:row r="121" ht="26.399999618530273" hidden="0" customHeight="1">
      <x:c r="A121" s="22" t="str">
        <x:v>10_System_Rating</x:v>
      </x:c>
      <x:c r="B121" s="22" t="str">
        <x:v>phase_unbalance_factor</x:v>
      </x:c>
      <x:c r="C121" s="22" t="n">
        <x:v>1</x:v>
      </x:c>
      <x:c r="D121" s="22" t="str">
        <x:v>pu</x:v>
      </x:c>
      <x:c r="E121" s="22" t="str"/>
      <x:c r="F121" s="22" t="str"/>
      <x:c r="G121" s="22" t="str">
        <x:v>configuration</x:v>
      </x:c>
      <x:c r="H121" s="22" t="str">
        <x:v>PASS</x:v>
      </x:c>
      <x:c r="I121" s="22" t="str"/>
    </x:row>
    <x:row r="122" ht="26.399999618530273" hidden="0" customHeight="1">
      <x:c r="A122" s="22" t="str">
        <x:v>10_System_Rating</x:v>
      </x:c>
      <x:c r="B122" s="22" t="str">
        <x:v>iac_rms_max_a</x:v>
      </x:c>
      <x:c r="C122" s="22" t="n">
        <x:v>14.76755862720775</x:v>
      </x:c>
      <x:c r="D122" s="22" t="str">
        <x:v>A</x:v>
      </x:c>
      <x:c r="E122" s="22" t="str">
        <x:v>Ppeak/(Vac_min*eta*PF)</x:v>
      </x:c>
      <x:c r="F122" s="22" t="str">
        <x:v>peak_power=2500.0, vac_min=180.0, efficiency=0.95, pf=0.99, unbalance=1.0</x:v>
      </x:c>
      <x:c r="G122" s="22" t="str">
        <x:v>calculated</x:v>
      </x:c>
      <x:c r="H122" s="22" t="str">
        <x:v>PASS</x:v>
      </x:c>
      <x:c r="I122" s="22" t="str"/>
    </x:row>
    <x:row r="123" ht="26.399999618530273" hidden="0" customHeight="1">
      <x:c r="A123" s="22" t="str">
        <x:v>10_System_Rating</x:v>
      </x:c>
      <x:c r="B123" s="22" t="str">
        <x:v>iac_peak_a</x:v>
      </x:c>
      <x:c r="C123" s="22" t="n">
        <x:v>20.884481693737005</x:v>
      </x:c>
      <x:c r="D123" s="22" t="str">
        <x:v>A</x:v>
      </x:c>
      <x:c r="E123" s="22" t="str">
        <x:v>sqrt(2)*Iac_rms</x:v>
      </x:c>
      <x:c r="F123" s="22" t="str"/>
      <x:c r="G123" s="22" t="str">
        <x:v>calculated</x:v>
      </x:c>
      <x:c r="H123" s="22" t="str">
        <x:v>PASS</x:v>
      </x:c>
      <x:c r="I123" s="22" t="str"/>
    </x:row>
    <x:row r="124" ht="26.399999618530273" hidden="0" customHeight="1">
      <x:c r="A124" s="22" t="str">
        <x:v>10_System_Rating</x:v>
      </x:c>
      <x:c r="B124" s="22" t="str">
        <x:v>iac_design_peak_a</x:v>
      </x:c>
      <x:c r="C124" s="22" t="n">
        <x:v>27.56751583573285</x:v>
      </x:c>
      <x:c r="D124" s="22" t="str">
        <x:v>A</x:v>
      </x:c>
      <x:c r="E124" s="22" t="str">
        <x:v>Iac_peak*Koverload*Kmargin</x:v>
      </x:c>
      <x:c r="F124" s="22" t="str">
        <x:v>overload=1.1, iac_margin=1.2</x:v>
      </x:c>
      <x:c r="G124" s="22" t="str">
        <x:v>calculated</x:v>
      </x:c>
      <x:c r="H124" s="22" t="str">
        <x:v>PASS</x:v>
      </x:c>
      <x:c r="I124" s="22" t="str"/>
    </x:row>
    <x:row r="125" ht="26.399999618530273" hidden="0" customHeight="1">
      <x:c r="A125" s="22" t="str">
        <x:v>10_System_Rating</x:v>
      </x:c>
      <x:c r="B125" s="22" t="str">
        <x:v>idc_continuous_max_a</x:v>
      </x:c>
      <x:c r="C125" s="22" t="n">
        <x:v>7.112375533428165</x:v>
      </x:c>
      <x:c r="D125" s="22" t="str">
        <x:v>A</x:v>
      </x:c>
      <x:c r="E125" s="22" t="str">
        <x:v>Ppeak/(Vdc_min*eta)</x:v>
      </x:c>
      <x:c r="F125" s="22" t="str"/>
      <x:c r="G125" s="22" t="str">
        <x:v>calculated</x:v>
      </x:c>
      <x:c r="H125" s="22" t="str">
        <x:v>PASS</x:v>
      </x:c>
      <x:c r="I125" s="22" t="str"/>
    </x:row>
    <x:row r="126" ht="26.399999618530273" hidden="0" customHeight="1">
      <x:c r="A126" s="22" t="str">
        <x:v>10_System_Rating</x:v>
      </x:c>
      <x:c r="B126" s="22" t="str">
        <x:v>idc_design_peak_a</x:v>
      </x:c>
      <x:c r="C126" s="22" t="n">
        <x:v>9.38833570412518</x:v>
      </x:c>
      <x:c r="D126" s="22" t="str">
        <x:v>A</x:v>
      </x:c>
      <x:c r="E126" s="22" t="str">
        <x:v>Idc_cont*Koverload*Kmargin</x:v>
      </x:c>
      <x:c r="F126" s="22" t="str">
        <x:v>overload=1.1, idc_margin=1.2</x:v>
      </x:c>
      <x:c r="G126" s="22" t="str">
        <x:v>calculated</x:v>
      </x:c>
      <x:c r="H126" s="22" t="str">
        <x:v>PASS</x:v>
      </x:c>
      <x:c r="I126" s="22" t="str"/>
    </x:row>
    <x:row r="127" ht="26.399999618530273" hidden="0" customHeight="1">
      <x:c r="A127" s="22" t="str">
        <x:v>15_Phase_Channels</x:v>
      </x:c>
      <x:c r="B127" s="22" t="str">
        <x:v>phase_mode</x:v>
      </x:c>
      <x:c r="C127" s="22" t="str">
        <x:v>single_phase</x:v>
      </x:c>
      <x:c r="D127" s="22" t="str"/>
      <x:c r="E127" s="22" t="str"/>
      <x:c r="F127" s="22" t="str"/>
      <x:c r="G127" s="22" t="str">
        <x:v>calculated</x:v>
      </x:c>
      <x:c r="H127" s="22" t="str">
        <x:v>PASS</x:v>
      </x:c>
      <x:c r="I127" s="22" t="str"/>
    </x:row>
    <x:row r="128" ht="26.399999618530273" hidden="0" customHeight="1">
      <x:c r="A128" s="22" t="str">
        <x:v>20_IAC_Hall</x:v>
      </x:c>
      <x:c r="B128" s="22" t="str">
        <x:v>design_current_a</x:v>
      </x:c>
      <x:c r="C128" s="22" t="n">
        <x:v>27.56751583573285</x:v>
      </x:c>
      <x:c r="D128" s="22" t="str">
        <x:v>A</x:v>
      </x:c>
      <x:c r="E128" s="22" t="str"/>
      <x:c r="F128" s="22" t="str"/>
      <x:c r="G128" s="22" t="str">
        <x:v>calculated</x:v>
      </x:c>
      <x:c r="H128" s="22" t="str">
        <x:v>PASS</x:v>
      </x:c>
      <x:c r="I128" s="22" t="str"/>
    </x:row>
    <x:row r="129" ht="15" hidden="0" customHeight="1">
      <x:c r="A129" s="22" t="str">
        <x:v>20_IAC_Hall</x:v>
      </x:c>
      <x:c r="B129" s="22" t="str">
        <x:v>effective_sensitivity_v_per_a</x:v>
      </x:c>
      <x:c r="C129" s="22" t="n">
        <x:v>0.0146067</x:v>
      </x:c>
      <x:c r="D129" s="22" t="str">
        <x:v>V/A</x:v>
      </x:c>
      <x:c r="E129" s="22" t="str">
        <x:v>Sensor sensitivity*front-end gain</x:v>
      </x:c>
      <x:c r="F129" s="22" t="str"/>
      <x:c r="G129" s="22" t="str">
        <x:v>calculated</x:v>
      </x:c>
      <x:c r="H129" s="22" t="str">
        <x:v>PASS</x:v>
      </x:c>
      <x:c r="I129" s="22" t="str"/>
    </x:row>
    <x:row r="130" ht="26.399999618530273" hidden="0" customHeight="1">
      <x:c r="A130" s="22" t="str">
        <x:v>20_IAC_Hall</x:v>
      </x:c>
      <x:c r="B130" s="22" t="str">
        <x:v>maximum_sensitivity_v_per_a</x:v>
      </x:c>
      <x:c r="C130" s="22" t="n">
        <x:v>0.04573027208951222</x:v>
      </x:c>
      <x:c r="D130" s="22" t="str">
        <x:v>V/A</x:v>
      </x:c>
      <x:c r="E130" s="22" t="str">
        <x:v>min((Vzero-Vmin)/Imax,(Vmax-Vzero)/Imax)</x:v>
      </x:c>
      <x:c r="F130" s="22" t="str"/>
      <x:c r="G130" s="22" t="str">
        <x:v>calculated</x:v>
      </x:c>
      <x:c r="H130" s="22" t="str">
        <x:v>PASS</x:v>
      </x:c>
      <x:c r="I130" s="22" t="str"/>
    </x:row>
    <x:row r="131" ht="26.399999618530273" hidden="0" customHeight="1">
      <x:c r="A131" s="22" t="str">
        <x:v>20_IAC_Hall</x:v>
      </x:c>
      <x:c r="B131" s="22" t="str">
        <x:v>maximum_front_end_gain</x:v>
      </x:c>
      <x:c r="C131" s="22" t="n">
        <x:v>1.8292108835804888</x:v>
      </x:c>
      <x:c r="D131" s="22" t="str">
        <x:v>V/V</x:v>
      </x:c>
      <x:c r="E131" s="22" t="str">
        <x:v>Seff_max/Ssensor</x:v>
      </x:c>
      <x:c r="F131" s="22" t="str"/>
      <x:c r="G131" s="22" t="str">
        <x:v>calculated</x:v>
      </x:c>
      <x:c r="H131" s="22" t="str">
        <x:v>PASS</x:v>
      </x:c>
      <x:c r="I131" s="22" t="str"/>
    </x:row>
    <x:row r="132" ht="15" hidden="0" customHeight="1">
      <x:c r="A132" s="22" t="str">
        <x:v>20_IAC_Hall</x:v>
      </x:c>
      <x:c r="B132" s="22" t="str">
        <x:v>zero_adc_v</x:v>
      </x:c>
      <x:c r="C132" s="22" t="n">
        <x:v>1.46067</x:v>
      </x:c>
      <x:c r="D132" s="22" t="str">
        <x:v>V</x:v>
      </x:c>
      <x:c r="E132" s="22" t="str"/>
      <x:c r="F132" s="22" t="str"/>
      <x:c r="G132" s="22" t="str">
        <x:v>calculated</x:v>
      </x:c>
      <x:c r="H132" s="22" t="str">
        <x:v>PASS</x:v>
      </x:c>
      <x:c r="I132" s="22" t="str"/>
    </x:row>
    <x:row r="133" ht="26.399999618530273" hidden="0" customHeight="1">
      <x:c r="A133" s="22" t="str">
        <x:v>20_IAC_Hall</x:v>
      </x:c>
      <x:c r="B133" s="22" t="str">
        <x:v>zero_adc_code</x:v>
      </x:c>
      <x:c r="C133" s="22" t="n">
        <x:v>1994.30144</x:v>
      </x:c>
      <x:c r="D133" s="22" t="str">
        <x:v>code</x:v>
      </x:c>
      <x:c r="E133" s="22" t="str"/>
      <x:c r="F133" s="22" t="str"/>
      <x:c r="G133" s="22" t="str">
        <x:v>calculated</x:v>
      </x:c>
      <x:c r="H133" s="22" t="str">
        <x:v>PASS</x:v>
      </x:c>
      <x:c r="I133" s="22" t="str"/>
    </x:row>
    <x:row r="134" ht="26.399999618530273" hidden="0" customHeight="1">
      <x:c r="A134" s="22" t="str">
        <x:v>20_IAC_Hall</x:v>
      </x:c>
      <x:c r="B134" s="22" t="str">
        <x:v>adc_min_v</x:v>
      </x:c>
      <x:c r="C134" s="22" t="n">
        <x:v>1.0579995664422008</x:v>
      </x:c>
      <x:c r="D134" s="22" t="str">
        <x:v>V</x:v>
      </x:c>
      <x:c r="E134" s="22" t="str"/>
      <x:c r="F134" s="22" t="str"/>
      <x:c r="G134" s="22" t="str">
        <x:v>calculated</x:v>
      </x:c>
      <x:c r="H134" s="22" t="str">
        <x:v>PASS</x:v>
      </x:c>
      <x:c r="I134" s="22" t="str"/>
    </x:row>
    <x:row r="135" ht="26.399999618530273" hidden="0" customHeight="1">
      <x:c r="A135" s="22" t="str">
        <x:v>20_IAC_Hall</x:v>
      </x:c>
      <x:c r="B135" s="22" t="str">
        <x:v>adc_max_v</x:v>
      </x:c>
      <x:c r="C135" s="22" t="n">
        <x:v>1.863340433557799</x:v>
      </x:c>
      <x:c r="D135" s="22" t="str">
        <x:v>V</x:v>
      </x:c>
      <x:c r="E135" s="22" t="str"/>
      <x:c r="F135" s="22" t="str"/>
      <x:c r="G135" s="22" t="str">
        <x:v>calculated</x:v>
      </x:c>
      <x:c r="H135" s="22" t="str">
        <x:v>PASS</x:v>
      </x:c>
      <x:c r="I135" s="22" t="str"/>
    </x:row>
    <x:row r="136" ht="26.399999618530273" hidden="0" customHeight="1">
      <x:c r="A136" s="22" t="str">
        <x:v>20_IAC_Hall</x:v>
      </x:c>
      <x:c r="B136" s="22" t="str">
        <x:v>adc_min_code</x:v>
      </x:c>
      <x:c r="C136" s="22" t="n">
        <x:v>1444.5220747157516</x:v>
      </x:c>
      <x:c r="D136" s="22" t="str">
        <x:v>code</x:v>
      </x:c>
      <x:c r="E136" s="22" t="str"/>
      <x:c r="F136" s="22" t="str"/>
      <x:c r="G136" s="22" t="str">
        <x:v>calculated</x:v>
      </x:c>
      <x:c r="H136" s="22" t="str">
        <x:v>PASS</x:v>
      </x:c>
      <x:c r="I136" s="22" t="str"/>
    </x:row>
    <x:row r="137" ht="26.399999618530273" hidden="0" customHeight="1">
      <x:c r="A137" s="22" t="str">
        <x:v>20_IAC_Hall</x:v>
      </x:c>
      <x:c r="B137" s="22" t="str">
        <x:v>adc_max_code</x:v>
      </x:c>
      <x:c r="C137" s="22" t="n">
        <x:v>2544.080805284248</x:v>
      </x:c>
      <x:c r="D137" s="22" t="str">
        <x:v>code</x:v>
      </x:c>
      <x:c r="E137" s="22" t="str"/>
      <x:c r="F137" s="22" t="str"/>
      <x:c r="G137" s="22" t="str">
        <x:v>calculated</x:v>
      </x:c>
      <x:c r="H137" s="22" t="str">
        <x:v>PASS</x:v>
      </x:c>
      <x:c r="I137" s="22" t="str"/>
    </x:row>
    <x:row r="138" ht="26.399999618530273" hidden="0" customHeight="1">
      <x:c r="A138" s="22" t="str">
        <x:v>20_IAC_Hall</x:v>
      </x:c>
      <x:c r="B138" s="22" t="str">
        <x:v>current_per_code_a</x:v>
      </x:c>
      <x:c r="C138" s="22" t="n">
        <x:v>0.050142871079709994</x:v>
      </x:c>
      <x:c r="D138" s="22" t="str">
        <x:v>A/code</x:v>
      </x:c>
      <x:c r="E138" s="22" t="str">
        <x:v>Vlsb/Seff</x:v>
      </x:c>
      <x:c r="F138" s="22" t="str"/>
      <x:c r="G138" s="22" t="str">
        <x:v>calculated</x:v>
      </x:c>
      <x:c r="H138" s="22" t="str">
        <x:v>PASS</x:v>
      </x:c>
      <x:c r="I138" s="22" t="str"/>
    </x:row>
    <x:row r="139" ht="26.399999618530273" hidden="0" customHeight="1">
      <x:c r="A139" s="22" t="str">
        <x:v>20_IAC_Hall</x:v>
      </x:c>
      <x:c r="B139" s="22" t="str">
        <x:v>adc_utilization</x:v>
      </x:c>
      <x:c r="C139" s="22" t="n">
        <x:v>0.2684469557051994</x:v>
      </x:c>
      <x:c r="D139" s="22" t="str">
        <x:v>pu</x:v>
      </x:c>
      <x:c r="E139" s="22" t="str">
        <x:v>(Vmax-Vmin)/Vref</x:v>
      </x:c>
      <x:c r="F139" s="22" t="str"/>
      <x:c r="G139" s="22" t="str">
        <x:v>calculated</x:v>
      </x:c>
      <x:c r="H139" s="22" t="str">
        <x:v>WARNING</x:v>
      </x:c>
      <x:c r="I139" s="22" t="str"/>
    </x:row>
    <x:row r="140" ht="26.399999618530273" hidden="0" customHeight="1">
      <x:c r="A140" s="22" t="str">
        <x:v>40_VAC</x:v>
      </x:c>
      <x:c r="B140" s="22" t="str">
        <x:v>vac_design_peak_v</x:v>
      </x:c>
      <x:c r="C140" s="22" t="n">
        <x:v>430.9815831332007</x:v>
      </x:c>
      <x:c r="D140" s="22" t="str">
        <x:v>V</x:v>
      </x:c>
      <x:c r="E140" s="22" t="str">
        <x:v>Vac_rms_max*sqrt(2)*Kmargin</x:v>
      </x:c>
      <x:c r="F140" s="22" t="str"/>
      <x:c r="G140" s="22" t="str">
        <x:v>calculated</x:v>
      </x:c>
      <x:c r="H140" s="22" t="str">
        <x:v>PASS</x:v>
      </x:c>
      <x:c r="I140" s="22" t="str"/>
    </x:row>
    <x:row r="141" ht="26.399999618530273" hidden="0" customHeight="1">
      <x:c r="A141" s="22" t="str">
        <x:v>40_VAC</x:v>
      </x:c>
      <x:c r="B141" s="22" t="str">
        <x:v>divider_ratio</x:v>
      </x:c>
      <x:c r="C141" s="22" t="n">
        <x:v>0.0033222591362126247</x:v>
      </x:c>
      <x:c r="D141" s="22" t="str">
        <x:v>V/V</x:v>
      </x:c>
      <x:c r="E141" s="22" t="str">
        <x:v>Rbottom/(Rtop+Rbottom)</x:v>
      </x:c>
      <x:c r="F141" s="22" t="str"/>
      <x:c r="G141" s="22" t="str">
        <x:v>calculated</x:v>
      </x:c>
      <x:c r="H141" s="22" t="str">
        <x:v>PASS</x:v>
      </x:c>
      <x:c r="I141" s="22" t="str"/>
    </x:row>
    <x:row r="142" ht="26.399999618530273" hidden="0" customHeight="1">
      <x:c r="A142" s="22" t="str">
        <x:v>40_VAC</x:v>
      </x:c>
      <x:c r="B142" s="22" t="str">
        <x:v>isolation_input_peak_v</x:v>
      </x:c>
      <x:c r="C142" s="22" t="n">
        <x:v>1.4318325021036566</x:v>
      </x:c>
      <x:c r="D142" s="22" t="str">
        <x:v>V</x:v>
      </x:c>
      <x:c r="E142" s="22" t="str">
        <x:v>Vdesign*Kdivider</x:v>
      </x:c>
      <x:c r="F142" s="22" t="str"/>
      <x:c r="G142" s="22" t="str">
        <x:v>calculated</x:v>
      </x:c>
      <x:c r="H142" s="22" t="str">
        <x:v>FAIL</x:v>
      </x:c>
      <x:c r="I142" s="22" t="str"/>
    </x:row>
    <x:row r="143" ht="15" hidden="0" customHeight="1">
      <x:c r="A143" s="22" t="str">
        <x:v>40_VAC</x:v>
      </x:c>
      <x:c r="B143" s="22" t="str">
        <x:v>isolation_linear_limit_v</x:v>
      </x:c>
      <x:c r="C143" s="22" t="n">
        <x:v>1</x:v>
      </x:c>
      <x:c r="D143" s="22" t="str">
        <x:v>V</x:v>
      </x:c>
      <x:c r="E143" s="22" t="str"/>
      <x:c r="F143" s="22" t="str"/>
      <x:c r="G143" s="22" t="str">
        <x:v>calculated</x:v>
      </x:c>
      <x:c r="H143" s="22" t="str">
        <x:v>PASS</x:v>
      </x:c>
      <x:c r="I143" s="22" t="str"/>
    </x:row>
    <x:row r="144" ht="26.399999618530273" hidden="0" customHeight="1">
      <x:c r="A144" s="22" t="str">
        <x:v>40_VAC</x:v>
      </x:c>
      <x:c r="B144" s="22" t="str">
        <x:v>recommended_high_side_ohm</x:v>
      </x:c>
      <x:c r="C144" s="22" t="n">
        <x:v>1576965.8048217357</x:v>
      </x:c>
      <x:c r="D144" s="22" t="str">
        <x:v>ohm</x:v>
      </x:c>
      <x:c r="E144" s="22" t="str">
        <x:v>Rbottom*(Vdesign/Vtarget-1)</x:v>
      </x:c>
      <x:c r="F144" s="22" t="str"/>
      <x:c r="G144" s="22" t="str">
        <x:v>calculated</x:v>
      </x:c>
      <x:c r="H144" s="22" t="str">
        <x:v>FAIL</x:v>
      </x:c>
      <x:c r="I144" s="22" t="str"/>
    </x:row>
    <x:row r="145" ht="26.399999618530273" hidden="0" customHeight="1">
      <x:c r="A145" s="22" t="str">
        <x:v>40_VAC</x:v>
      </x:c>
      <x:c r="B145" s="22" t="str">
        <x:v>adc_output_min_v</x:v>
      </x:c>
      <x:c r="C145" s="22" t="n">
        <x:v>0.21816749789634327</x:v>
      </x:c>
      <x:c r="D145" s="22" t="str">
        <x:v>V</x:v>
      </x:c>
      <x:c r="E145" s="22" t="str"/>
      <x:c r="F145" s="22" t="str"/>
      <x:c r="G145" s="22" t="str">
        <x:v>calculated</x:v>
      </x:c>
      <x:c r="H145" s="22" t="str">
        <x:v>FAIL</x:v>
      </x:c>
      <x:c r="I145" s="22" t="str"/>
    </x:row>
    <x:row r="146" ht="26.399999618530273" hidden="0" customHeight="1">
      <x:c r="A146" s="22" t="str">
        <x:v>40_VAC</x:v>
      </x:c>
      <x:c r="B146" s="22" t="str">
        <x:v>adc_output_max_v</x:v>
      </x:c>
      <x:c r="C146" s="22" t="n">
        <x:v>3.081832502103657</x:v>
      </x:c>
      <x:c r="D146" s="22" t="str">
        <x:v>V</x:v>
      </x:c>
      <x:c r="E146" s="22" t="str"/>
      <x:c r="F146" s="22" t="str"/>
      <x:c r="G146" s="22" t="str">
        <x:v>calculated</x:v>
      </x:c>
      <x:c r="H146" s="22" t="str">
        <x:v>FAIL</x:v>
      </x:c>
      <x:c r="I146" s="22" t="str"/>
    </x:row>
    <x:row r="147" ht="26.399999618530273" hidden="0" customHeight="1">
      <x:c r="A147" s="22" t="str">
        <x:v>40_VAC</x:v>
      </x:c>
      <x:c r="B147" s="22" t="str">
        <x:v>vac_per_code_v</x:v>
      </x:c>
      <x:c r="C147" s="22" t="n">
        <x:v>0.220458984375</x:v>
      </x:c>
      <x:c r="D147" s="22" t="str">
        <x:v>V/code</x:v>
      </x:c>
      <x:c r="E147" s="22" t="str">
        <x:v>Vlsb/(Kdivider*Gain)</x:v>
      </x:c>
      <x:c r="F147" s="22" t="str"/>
      <x:c r="G147" s="22" t="str">
        <x:v>calculated</x:v>
      </x:c>
      <x:c r="H147" s="22" t="str">
        <x:v>PASS</x:v>
      </x:c>
      <x:c r="I147" s="22" t="str"/>
    </x:row>
    <x:row r="148" ht="26.399999618530273" hidden="0" customHeight="1">
      <x:c r="A148" s="22" t="str">
        <x:v>21_IAC_Filter</x:v>
      </x:c>
      <x:c r="B148" s="22" t="str">
        <x:v>rc_cutoff_hz</x:v>
      </x:c>
      <x:c r="C148" s="22" t="n">
        <x:v>159154.94309189534</x:v>
      </x:c>
      <x:c r="D148" s="22" t="str">
        <x:v>Hz</x:v>
      </x:c>
      <x:c r="E148" s="22" t="str">
        <x:v>1/(2*pi*R*C)</x:v>
      </x:c>
      <x:c r="F148" s="22" t="str"/>
      <x:c r="G148" s="22" t="str">
        <x:v>calculated</x:v>
      </x:c>
      <x:c r="H148" s="22" t="str">
        <x:v>PASS</x:v>
      </x:c>
      <x:c r="I148" s="22" t="str"/>
    </x:row>
    <x:row r="149" ht="26.399999618530273" hidden="0" customHeight="1">
      <x:c r="A149" s="22" t="str">
        <x:v>21_IAC_Filter</x:v>
      </x:c>
      <x:c r="B149" s="22" t="str">
        <x:v>effective_bandwidth_hz</x:v>
      </x:c>
      <x:c r="C149" s="22" t="n">
        <x:v>159154.94309189534</x:v>
      </x:c>
      <x:c r="D149" s="22" t="str">
        <x:v>Hz</x:v>
      </x:c>
      <x:c r="E149" s="22" t="str">
        <x:v>min(RC cutoff, sensor bandwidth)</x:v>
      </x:c>
      <x:c r="F149" s="22" t="str"/>
      <x:c r="G149" s="22" t="str">
        <x:v>calculated</x:v>
      </x:c>
      <x:c r="H149" s="22" t="str">
        <x:v>PASS</x:v>
      </x:c>
      <x:c r="I149" s="22" t="str"/>
    </x:row>
    <x:row r="150" ht="15" hidden="0" customHeight="1">
      <x:c r="A150" s="22" t="str">
        <x:v>21_IAC_Filter</x:v>
      </x:c>
      <x:c r="B150" s="22" t="str">
        <x:v>required_bandwidth_hz</x:v>
      </x:c>
      <x:c r="C150" s="22" t="n">
        <x:v>15000</x:v>
      </x:c>
      <x:c r="D150" s="22" t="str">
        <x:v>Hz</x:v>
      </x:c>
      <x:c r="E150" s="22" t="str">
        <x:v>max(Kbw*floop, floop/tan(phi_budget))</x:v>
      </x:c>
      <x:c r="F150" s="22" t="str"/>
      <x:c r="G150" s="22" t="str">
        <x:v>calculated</x:v>
      </x:c>
      <x:c r="H150" s="22" t="str">
        <x:v>PASS</x:v>
      </x:c>
      <x:c r="I150" s="22" t="str"/>
    </x:row>
    <x:row r="151" ht="26.399999618530273" hidden="0" customHeight="1">
      <x:c r="A151" s="22" t="str">
        <x:v>21_IAC_Filter</x:v>
      </x:c>
      <x:c r="B151" s="22" t="str">
        <x:v>loop_gain_ratio</x:v>
      </x:c>
      <x:c r="C151" s="22" t="n">
        <x:v>0.9998223944475859</x:v>
      </x:c>
      <x:c r="D151" s="22" t="str">
        <x:v>pu</x:v>
      </x:c>
      <x:c r="E151" s="22" t="str">
        <x:v>1/sqrt(1+(floop/fc)^2)</x:v>
      </x:c>
      <x:c r="F151" s="22" t="str"/>
      <x:c r="G151" s="22" t="str">
        <x:v>calculated</x:v>
      </x:c>
      <x:c r="H151" s="22" t="str">
        <x:v>PASS</x:v>
      </x:c>
      <x:c r="I151" s="22" t="str"/>
    </x:row>
    <x:row r="152" ht="26.399999618530273" hidden="0" customHeight="1">
      <x:c r="A152" s="22" t="str">
        <x:v>21_IAC_Filter</x:v>
      </x:c>
      <x:c r="B152" s="22" t="str">
        <x:v>loop_phase_loss_deg</x:v>
      </x:c>
      <x:c r="C152" s="22" t="n">
        <x:v>1.0798721171883547</x:v>
      </x:c>
      <x:c r="D152" s="22" t="str">
        <x:v>deg</x:v>
      </x:c>
      <x:c r="E152" s="22" t="str">
        <x:v>atan(floop/fc)</x:v>
      </x:c>
      <x:c r="F152" s="22" t="str"/>
      <x:c r="G152" s="22" t="str">
        <x:v>calculated</x:v>
      </x:c>
      <x:c r="H152" s="22" t="str">
        <x:v>PASS</x:v>
      </x:c>
      <x:c r="I152" s="22" t="str"/>
    </x:row>
    <x:row r="153" ht="26.399999618530273" hidden="0" customHeight="1">
      <x:c r="A153" s="22" t="str">
        <x:v>21_IAC_Filter</x:v>
      </x:c>
      <x:c r="B153" s="22" t="str">
        <x:v>switching_attenuation_db</x:v>
      </x:c>
      <x:c r="C153" s="22" t="n">
        <x:v>-2.7606280443612286</x:v>
      </x:c>
      <x:c r="D153" s="22" t="str">
        <x:v>dB</x:v>
      </x:c>
      <x:c r="E153" s="22" t="str">
        <x:v>-10*log10(1+(fsw/fc)^2)</x:v>
      </x:c>
      <x:c r="F153" s="22" t="str"/>
      <x:c r="G153" s="22" t="str">
        <x:v>calculated</x:v>
      </x:c>
      <x:c r="H153" s="22" t="str">
        <x:v>PASS</x:v>
      </x:c>
      <x:c r="I153" s="22" t="str"/>
    </x:row>
    <x:row r="154" ht="26.399999618530273" hidden="0" customHeight="1">
      <x:c r="A154" s="22" t="str">
        <x:v>42_VAC_Filter</x:v>
      </x:c>
      <x:c r="B154" s="22" t="str">
        <x:v>rc_cutoff_hz</x:v>
      </x:c>
      <x:c r="C154" s="22" t="n">
        <x:v>338627.5384933943</x:v>
      </x:c>
      <x:c r="D154" s="22" t="str">
        <x:v>Hz</x:v>
      </x:c>
      <x:c r="E154" s="22" t="str">
        <x:v>1/(2*pi*R*C)</x:v>
      </x:c>
      <x:c r="F154" s="22" t="str"/>
      <x:c r="G154" s="22" t="str">
        <x:v>calculated</x:v>
      </x:c>
      <x:c r="H154" s="22" t="str">
        <x:v>PASS</x:v>
      </x:c>
      <x:c r="I154" s="22" t="str"/>
    </x:row>
    <x:row r="155" ht="15" hidden="0" customHeight="1">
      <x:c r="A155" s="22" t="str">
        <x:v>42_VAC_Filter</x:v>
      </x:c>
      <x:c r="B155" s="22" t="str">
        <x:v>effective_bandwidth_hz</x:v>
      </x:c>
      <x:c r="C155" s="22" t="n">
        <x:v>145000</x:v>
      </x:c>
      <x:c r="D155" s="22" t="str">
        <x:v>Hz</x:v>
      </x:c>
      <x:c r="E155" s="22" t="str">
        <x:v>min(RC cutoff, sensor bandwidth)</x:v>
      </x:c>
      <x:c r="F155" s="22" t="str"/>
      <x:c r="G155" s="22" t="str">
        <x:v>calculated</x:v>
      </x:c>
      <x:c r="H155" s="22" t="str">
        <x:v>PASS</x:v>
      </x:c>
      <x:c r="I155" s="22" t="str"/>
    </x:row>
    <x:row r="156" ht="26.399999618530273" hidden="0" customHeight="1">
      <x:c r="A156" s="22" t="str">
        <x:v>42_VAC_Filter</x:v>
      </x:c>
      <x:c r="B156" s="22" t="str">
        <x:v>required_bandwidth_hz</x:v>
      </x:c>
      <x:c r="C156" s="22" t="n">
        <x:v>342.9015690828403</x:v>
      </x:c>
      <x:c r="D156" s="22" t="str">
        <x:v>Hz</x:v>
      </x:c>
      <x:c r="E156" s="22" t="str">
        <x:v>max(Kbw*floop, floop/tan(phi_budget))</x:v>
      </x:c>
      <x:c r="F156" s="22" t="str"/>
      <x:c r="G156" s="22" t="str">
        <x:v>calculated</x:v>
      </x:c>
      <x:c r="H156" s="22" t="str">
        <x:v>PASS</x:v>
      </x:c>
      <x:c r="I156" s="22" t="str"/>
    </x:row>
    <x:row r="157" ht="26.399999618530273" hidden="0" customHeight="1">
      <x:c r="A157" s="22" t="str">
        <x:v>42_VAC_Filter</x:v>
      </x:c>
      <x:c r="B157" s="22" t="str">
        <x:v>loop_gain_ratio</x:v>
      </x:c>
      <x:c r="C157" s="22" t="n">
        <x:v>0.9999999785969091</x:v>
      </x:c>
      <x:c r="D157" s="22" t="str">
        <x:v>pu</x:v>
      </x:c>
      <x:c r="E157" s="22" t="str">
        <x:v>1/sqrt(1+(floop/fc)^2)</x:v>
      </x:c>
      <x:c r="F157" s="22" t="str"/>
      <x:c r="G157" s="22" t="str">
        <x:v>calculated</x:v>
      </x:c>
      <x:c r="H157" s="22" t="str">
        <x:v>PASS</x:v>
      </x:c>
      <x:c r="I157" s="22" t="str"/>
    </x:row>
    <x:row r="158" ht="26.399999618530273" hidden="0" customHeight="1">
      <x:c r="A158" s="22" t="str">
        <x:v>42_VAC_Filter</x:v>
      </x:c>
      <x:c r="B158" s="22" t="str">
        <x:v>loop_phase_loss_deg</x:v>
      </x:c>
      <x:c r="C158" s="22" t="n">
        <x:v>0.011854299040457476</x:v>
      </x:c>
      <x:c r="D158" s="22" t="str">
        <x:v>deg</x:v>
      </x:c>
      <x:c r="E158" s="22" t="str">
        <x:v>atan(floop/fc)</x:v>
      </x:c>
      <x:c r="F158" s="22" t="str"/>
      <x:c r="G158" s="22" t="str">
        <x:v>calculated</x:v>
      </x:c>
      <x:c r="H158" s="22" t="str">
        <x:v>PASS</x:v>
      </x:c>
      <x:c r="I158" s="22" t="str"/>
    </x:row>
    <x:row r="159" ht="26.399999618530273" hidden="0" customHeight="1">
      <x:c r="A159" s="22" t="str">
        <x:v>42_VAC_Filter</x:v>
      </x:c>
      <x:c r="B159" s="22" t="str">
        <x:v>switching_attenuation_db</x:v>
      </x:c>
      <x:c r="C159" s="22" t="n">
        <x:v>-3.1600277531941905</x:v>
      </x:c>
      <x:c r="D159" s="22" t="str">
        <x:v>dB</x:v>
      </x:c>
      <x:c r="E159" s="22" t="str">
        <x:v>-10*log10(1+(fsw/fc)^2)</x:v>
      </x:c>
      <x:c r="F159" s="22" t="str"/>
      <x:c r="G159" s="22" t="str">
        <x:v>calculated</x:v>
      </x:c>
      <x:c r="H159" s="22" t="str">
        <x:v>PASS</x:v>
      </x:c>
      <x:c r="I159" s="22" t="str"/>
    </x:row>
    <x:row r="160" ht="15" hidden="0" customHeight="1">
      <x:c r="A160" s="22" t="str">
        <x:v>30_IDC_Shunt</x:v>
      </x:c>
      <x:c r="B160" s="22" t="str">
        <x:v>actual_shunt_ohm</x:v>
      </x:c>
      <x:c r="C160" s="22" t="n">
        <x:v>0.001</x:v>
      </x:c>
      <x:c r="D160" s="22" t="str">
        <x:v>ohm</x:v>
      </x:c>
      <x:c r="E160" s="22" t="str"/>
      <x:c r="F160" s="22" t="str"/>
      <x:c r="G160" s="22" t="str">
        <x:v>calculated</x:v>
      </x:c>
      <x:c r="H160" s="22" t="str">
        <x:v>PASS</x:v>
      </x:c>
      <x:c r="I160" s="22" t="str"/>
    </x:row>
    <x:row r="161" ht="26.399999618530273" hidden="0" customHeight="1">
      <x:c r="A161" s="22" t="str">
        <x:v>30_IDC_Shunt</x:v>
      </x:c>
      <x:c r="B161" s="22" t="str">
        <x:v>max_shunt_adc_ohm</x:v>
      </x:c>
      <x:c r="C161" s="22" t="n">
        <x:v>0.004751221303948576</x:v>
      </x:c>
      <x:c r="D161" s="22" t="str">
        <x:v>ohm</x:v>
      </x:c>
      <x:c r="E161" s="22" t="str"/>
      <x:c r="F161" s="22" t="str"/>
      <x:c r="G161" s="22" t="str">
        <x:v>calculated</x:v>
      </x:c>
      <x:c r="H161" s="22" t="str">
        <x:v>PASS</x:v>
      </x:c>
      <x:c r="I161" s="22" t="str"/>
    </x:row>
    <x:row r="162" ht="26.399999618530273" hidden="0" customHeight="1">
      <x:c r="A162" s="22" t="str">
        <x:v>30_IDC_Shunt</x:v>
      </x:c>
      <x:c r="B162" s="22" t="str">
        <x:v>max_shunt_input_ohm</x:v>
      </x:c>
      <x:c r="C162" s="22" t="n">
        <x:v>0.005453575757575757</x:v>
      </x:c>
      <x:c r="D162" s="22" t="str">
        <x:v>ohm</x:v>
      </x:c>
      <x:c r="E162" s="22" t="str"/>
      <x:c r="F162" s="22" t="str"/>
      <x:c r="G162" s="22" t="str">
        <x:v>calculated</x:v>
      </x:c>
      <x:c r="H162" s="22" t="str">
        <x:v>PASS</x:v>
      </x:c>
      <x:c r="I162" s="22" t="str"/>
    </x:row>
    <x:row r="163" ht="26.399999618530273" hidden="0" customHeight="1">
      <x:c r="A163" s="22" t="str">
        <x:v>30_IDC_Shunt</x:v>
      </x:c>
      <x:c r="B163" s="22" t="str">
        <x:v>recommended_shunt_max_ohm</x:v>
      </x:c>
      <x:c r="C163" s="22" t="n">
        <x:v>0.004751221303948576</x:v>
      </x:c>
      <x:c r="D163" s="22" t="str">
        <x:v>ohm</x:v>
      </x:c>
      <x:c r="E163" s="22" t="str">
        <x:v>min(R_adc,R_input)</x:v>
      </x:c>
      <x:c r="F163" s="22" t="str"/>
      <x:c r="G163" s="22" t="str">
        <x:v>calculated</x:v>
      </x:c>
      <x:c r="H163" s="22" t="str">
        <x:v>PASS</x:v>
      </x:c>
      <x:c r="I163" s="22" t="str"/>
    </x:row>
    <x:row r="164" ht="26.399999618530273" hidden="0" customHeight="1">
      <x:c r="A164" s="22" t="str">
        <x:v>30_IDC_Shunt</x:v>
      </x:c>
      <x:c r="B164" s="22" t="str">
        <x:v>effective_sensitivity_v_per_a</x:v>
      </x:c>
      <x:c r="C164" s="22" t="n">
        <x:v>0.02578125</x:v>
      </x:c>
      <x:c r="D164" s="22" t="str">
        <x:v>V/A</x:v>
      </x:c>
      <x:c r="E164" s="22" t="str">
        <x:v>Rshunt*Vref/(2*Vclip)</x:v>
      </x:c>
      <x:c r="F164" s="22" t="str"/>
      <x:c r="G164" s="22" t="str">
        <x:v>calculated</x:v>
      </x:c>
      <x:c r="H164" s="22" t="str">
        <x:v>PASS</x:v>
      </x:c>
      <x:c r="I164" s="22" t="str"/>
    </x:row>
    <x:row r="165" ht="15" hidden="0" customHeight="1">
      <x:c r="A165" s="22" t="str">
        <x:v>30_IDC_Shunt</x:v>
      </x:c>
      <x:c r="B165" s="22" t="str">
        <x:v>zero_adc_v</x:v>
      </x:c>
      <x:c r="C165" s="22" t="n">
        <x:v>1.65</x:v>
      </x:c>
      <x:c r="D165" s="22" t="str">
        <x:v>V</x:v>
      </x:c>
      <x:c r="E165" s="22" t="str"/>
      <x:c r="F165" s="22" t="str"/>
      <x:c r="G165" s="22" t="str">
        <x:v>calculated</x:v>
      </x:c>
      <x:c r="H165" s="22" t="str">
        <x:v>PASS</x:v>
      </x:c>
      <x:c r="I165" s="22" t="str"/>
    </x:row>
    <x:row r="166" ht="26.399999618530273" hidden="0" customHeight="1">
      <x:c r="A166" s="22" t="str">
        <x:v>30_IDC_Shunt</x:v>
      </x:c>
      <x:c r="B166" s="22" t="str">
        <x:v>adc_min_v</x:v>
      </x:c>
      <x:c r="C166" s="22" t="n">
        <x:v>1.4079569701280226</x:v>
      </x:c>
      <x:c r="D166" s="22" t="str">
        <x:v>V</x:v>
      </x:c>
      <x:c r="E166" s="22" t="str"/>
      <x:c r="F166" s="22" t="str"/>
      <x:c r="G166" s="22" t="str">
        <x:v>calculated</x:v>
      </x:c>
      <x:c r="H166" s="22" t="str">
        <x:v>PASS</x:v>
      </x:c>
      <x:c r="I166" s="22" t="str"/>
    </x:row>
    <x:row r="167" ht="26.399999618530273" hidden="0" customHeight="1">
      <x:c r="A167" s="22" t="str">
        <x:v>30_IDC_Shunt</x:v>
      </x:c>
      <x:c r="B167" s="22" t="str">
        <x:v>adc_max_v</x:v>
      </x:c>
      <x:c r="C167" s="22" t="n">
        <x:v>1.8920430298719773</x:v>
      </x:c>
      <x:c r="D167" s="22" t="str">
        <x:v>V</x:v>
      </x:c>
      <x:c r="E167" s="22" t="str"/>
      <x:c r="F167" s="22" t="str"/>
      <x:c r="G167" s="22" t="str">
        <x:v>calculated</x:v>
      </x:c>
      <x:c r="H167" s="22" t="str">
        <x:v>PASS</x:v>
      </x:c>
      <x:c r="I167" s="22" t="str"/>
    </x:row>
    <x:row r="168" ht="26.399999618530273" hidden="0" customHeight="1">
      <x:c r="A168" s="22" t="str">
        <x:v>30_IDC_Shunt</x:v>
      </x:c>
      <x:c r="B168" s="22" t="str">
        <x:v>current_per_code_a</x:v>
      </x:c>
      <x:c r="C168" s="22" t="n">
        <x:v>0.02840909090909091</x:v>
      </x:c>
      <x:c r="D168" s="22" t="str">
        <x:v>A/code</x:v>
      </x:c>
      <x:c r="E168" s="22" t="str">
        <x:v>Vlsb/Seff</x:v>
      </x:c>
      <x:c r="F168" s="22" t="str"/>
      <x:c r="G168" s="22" t="str">
        <x:v>calculated</x:v>
      </x:c>
      <x:c r="H168" s="22" t="str">
        <x:v>PASS</x:v>
      </x:c>
      <x:c r="I168" s="22" t="str"/>
    </x:row>
    <x:row r="169" ht="26.399999618530273" hidden="0" customHeight="1">
      <x:c r="A169" s="22" t="str">
        <x:v>30_IDC_Shunt</x:v>
      </x:c>
      <x:c r="B169" s="22" t="str">
        <x:v>adc_utilization</x:v>
      </x:c>
      <x:c r="C169" s="22" t="n">
        <x:v>0.16136201991465157</x:v>
      </x:c>
      <x:c r="D169" s="22" t="str">
        <x:v>pu</x:v>
      </x:c>
      <x:c r="E169" s="22" t="str"/>
      <x:c r="F169" s="22" t="str"/>
      <x:c r="G169" s="22" t="str">
        <x:v>calculated</x:v>
      </x:c>
      <x:c r="H169" s="22" t="str">
        <x:v>PASS</x:v>
      </x:c>
      <x:c r="I169" s="22" t="str"/>
    </x:row>
    <x:row r="170" ht="26.399999618530273" hidden="0" customHeight="1">
      <x:c r="A170" s="22" t="str">
        <x:v>30_IDC_Shunt</x:v>
      </x:c>
      <x:c r="B170" s="22" t="str">
        <x:v>continuous_shunt_power_w</x:v>
      </x:c>
      <x:c r="C170" s="22" t="n">
        <x:v>0.05058588572850757</x:v>
      </x:c>
      <x:c r="D170" s="22" t="str">
        <x:v>W</x:v>
      </x:c>
      <x:c r="E170" s="22" t="str">
        <x:v>Irms^2*R</x:v>
      </x:c>
      <x:c r="F170" s="22" t="str"/>
      <x:c r="G170" s="22" t="str">
        <x:v>calculated</x:v>
      </x:c>
      <x:c r="H170" s="22" t="str">
        <x:v>PASS</x:v>
      </x:c>
      <x:c r="I170" s="22" t="str"/>
    </x:row>
    <x:row r="171" ht="26.399999618530273" hidden="0" customHeight="1">
      <x:c r="A171" s="22" t="str">
        <x:v>30_IDC_Shunt</x:v>
      </x:c>
      <x:c r="B171" s="22" t="str">
        <x:v>peak_shunt_power_w</x:v>
      </x:c>
      <x:c r="C171" s="22" t="n">
        <x:v>0.08814084729335163</x:v>
      </x:c>
      <x:c r="D171" s="22" t="str">
        <x:v>W</x:v>
      </x:c>
      <x:c r="E171" s="22" t="str">
        <x:v>Ipeak^2*R</x:v>
      </x:c>
      <x:c r="F171" s="22" t="str"/>
      <x:c r="G171" s="22" t="str">
        <x:v>calculated</x:v>
      </x:c>
      <x:c r="H171" s="22" t="str">
        <x:v>PASS</x:v>
      </x:c>
      <x:c r="I171" s="22" t="str"/>
    </x:row>
    <x:row r="172" ht="26.399999618530273" hidden="0" customHeight="1">
      <x:c r="A172" s="22" t="str">
        <x:v>30_IDC_Shunt</x:v>
      </x:c>
      <x:c r="B172" s="22" t="str">
        <x:v>equivalent_offset_current_a</x:v>
      </x:c>
      <x:c r="C172" s="22"/>
      <x:c r="D172" s="22" t="str">
        <x:v>A</x:v>
      </x:c>
      <x:c r="E172" s="22" t="str">
        <x:v>Vos/Rshunt</x:v>
      </x:c>
      <x:c r="F172" s="22" t="str"/>
      <x:c r="G172" s="22" t="str">
        <x:v>missing input</x:v>
      </x:c>
      <x:c r="H172" s="22" t="str">
        <x:v>NOT_EVALUATED</x:v>
      </x:c>
      <x:c r="I172" s="22" t="str">
        <x:v>Enter channels.idc.amplifier.input_offset_v.</x:v>
      </x:c>
    </x:row>
    <x:row r="173" ht="15" hidden="0" customHeight="1">
      <x:c r="A173" s="22" t="str">
        <x:v>41_VDC</x:v>
      </x:c>
      <x:c r="B173" s="22" t="str">
        <x:v>vdc_design_max_v</x:v>
      </x:c>
      <x:c r="C173" s="22" t="n">
        <x:v>482.99999999999994</x:v>
      </x:c>
      <x:c r="D173" s="22" t="str">
        <x:v>V</x:v>
      </x:c>
      <x:c r="E173" s="22" t="str">
        <x:v>Vdc_max*Kmargin</x:v>
      </x:c>
      <x:c r="F173" s="22" t="str"/>
      <x:c r="G173" s="22" t="str">
        <x:v>calculated</x:v>
      </x:c>
      <x:c r="H173" s="22" t="str">
        <x:v>PASS</x:v>
      </x:c>
      <x:c r="I173" s="22" t="str"/>
    </x:row>
    <x:row r="174" ht="15" hidden="0" customHeight="1">
      <x:c r="A174" s="22" t="str">
        <x:v>41_VDC</x:v>
      </x:c>
      <x:c r="B174" s="22" t="str">
        <x:v>architecture</x:v>
      </x:c>
      <x:c r="C174" s="22" t="str">
        <x:v>direct_hv</x:v>
      </x:c>
      <x:c r="D174" s="22" t="str"/>
      <x:c r="E174" s="22" t="str"/>
      <x:c r="F174" s="22" t="str"/>
      <x:c r="G174" s="22" t="str">
        <x:v>calculated</x:v>
      </x:c>
      <x:c r="H174" s="22" t="str">
        <x:v>PASS</x:v>
      </x:c>
      <x:c r="I174" s="22" t="str"/>
    </x:row>
    <x:row r="175" ht="26.399999618530273" hidden="0" customHeight="1">
      <x:c r="A175" s="22" t="str">
        <x:v>41_VDC</x:v>
      </x:c>
      <x:c r="B175" s="22" t="str">
        <x:v>sensor_transfer_ratio</x:v>
      </x:c>
      <x:c r="C175" s="22" t="n">
        <x:v>0.002576112412177986</x:v>
      </x:c>
      <x:c r="D175" s="22" t="str">
        <x:v>V/V</x:v>
      </x:c>
      <x:c r="E175" s="22" t="str">
        <x:v>Vref/Vclip</x:v>
      </x:c>
      <x:c r="F175" s="22" t="str"/>
      <x:c r="G175" s="22" t="str">
        <x:v>calculated</x:v>
      </x:c>
      <x:c r="H175" s="22" t="str">
        <x:v>PASS</x:v>
      </x:c>
      <x:c r="I175" s="22" t="str"/>
    </x:row>
    <x:row r="176" ht="26.399999618530273" hidden="0" customHeight="1">
      <x:c r="A176" s="22" t="str">
        <x:v>41_VDC</x:v>
      </x:c>
      <x:c r="B176" s="22" t="str">
        <x:v>adc_voltage_at_design_max</x:v>
      </x:c>
      <x:c r="C176" s="22" t="n">
        <x:v>1.244262295081967</x:v>
      </x:c>
      <x:c r="D176" s="22" t="str">
        <x:v>V</x:v>
      </x:c>
      <x:c r="E176" s="22" t="str"/>
      <x:c r="F176" s="22" t="str"/>
      <x:c r="G176" s="22" t="str">
        <x:v>calculated</x:v>
      </x:c>
      <x:c r="H176" s="22" t="str">
        <x:v>PASS</x:v>
      </x:c>
      <x:c r="I176" s="22" t="str"/>
    </x:row>
    <x:row r="177" ht="26.399999618530273" hidden="0" customHeight="1">
      <x:c r="A177" s="22" t="str">
        <x:v>41_VDC</x:v>
      </x:c>
      <x:c r="B177" s="22" t="str">
        <x:v>maximum_measurable_vdc_v</x:v>
      </x:c>
      <x:c r="C177" s="22" t="n">
        <x:v>1164.5454545454545</x:v>
      </x:c>
      <x:c r="D177" s="22" t="str">
        <x:v>V</x:v>
      </x:c>
      <x:c r="E177" s="22" t="str">
        <x:v>Vadc_fs/Ksensor</x:v>
      </x:c>
      <x:c r="F177" s="22" t="str"/>
      <x:c r="G177" s="22" t="str">
        <x:v>calculated</x:v>
      </x:c>
      <x:c r="H177" s="22" t="str">
        <x:v>PASS</x:v>
      </x:c>
      <x:c r="I177" s="22" t="str"/>
    </x:row>
    <x:row r="178" ht="26.399999618530273" hidden="0" customHeight="1">
      <x:c r="A178" s="22" t="str">
        <x:v>41_VDC</x:v>
      </x:c>
      <x:c r="B178" s="22" t="str">
        <x:v>vdc_per_code_v</x:v>
      </x:c>
      <x:c r="C178" s="22" t="n">
        <x:v>0.28431285511363635</x:v>
      </x:c>
      <x:c r="D178" s="22" t="str">
        <x:v>V/code</x:v>
      </x:c>
      <x:c r="E178" s="22" t="str">
        <x:v>Vlsb/Ksensor</x:v>
      </x:c>
      <x:c r="F178" s="22" t="str"/>
      <x:c r="G178" s="22" t="str">
        <x:v>calculated</x:v>
      </x:c>
      <x:c r="H178" s="22" t="str">
        <x:v>PASS</x:v>
      </x:c>
      <x:c r="I178" s="22" t="str"/>
    </x:row>
    <x:row r="179" ht="26.399999618530273" hidden="0" customHeight="1">
      <x:c r="A179" s="22" t="str">
        <x:v>41_VDC</x:v>
      </x:c>
      <x:c r="B179" s="22" t="str">
        <x:v>adc_utilization</x:v>
      </x:c>
      <x:c r="C179" s="22" t="n">
        <x:v>0.4147540983606557</x:v>
      </x:c>
      <x:c r="D179" s="22" t="str">
        <x:v>pu</x:v>
      </x:c>
      <x:c r="E179" s="22" t="str"/>
      <x:c r="F179" s="22" t="str"/>
      <x:c r="G179" s="22" t="str">
        <x:v>calculated</x:v>
      </x:c>
      <x:c r="H179" s="22" t="str">
        <x:v>PASS</x:v>
      </x:c>
      <x:c r="I179" s="22" t="str"/>
    </x:row>
    <x:row r="180" ht="26.399999618530273" hidden="0" customHeight="1">
      <x:c r="A180" s="22" t="str">
        <x:v>31_IDC_Filter</x:v>
      </x:c>
      <x:c r="B180" s="22" t="str">
        <x:v>rc_cutoff_hz</x:v>
      </x:c>
      <x:c r="C180" s="22" t="n">
        <x:v>6786.123015899687</x:v>
      </x:c>
      <x:c r="D180" s="22" t="str">
        <x:v>Hz</x:v>
      </x:c>
      <x:c r="E180" s="22" t="str">
        <x:v>1/(2*pi*R*C)</x:v>
      </x:c>
      <x:c r="F180" s="22" t="str"/>
      <x:c r="G180" s="22" t="str">
        <x:v>calculated</x:v>
      </x:c>
      <x:c r="H180" s="22" t="str">
        <x:v>PASS</x:v>
      </x:c>
      <x:c r="I180" s="22" t="str"/>
    </x:row>
    <x:row r="181" ht="26.399999618530273" hidden="0" customHeight="1">
      <x:c r="A181" s="22" t="str">
        <x:v>31_IDC_Filter</x:v>
      </x:c>
      <x:c r="B181" s="22" t="str">
        <x:v>effective_bandwidth_hz</x:v>
      </x:c>
      <x:c r="C181" s="22" t="n">
        <x:v>6786.123015899687</x:v>
      </x:c>
      <x:c r="D181" s="22" t="str">
        <x:v>Hz</x:v>
      </x:c>
      <x:c r="E181" s="22" t="str">
        <x:v>min(RC cutoff, sensor bandwidth)</x:v>
      </x:c>
      <x:c r="F181" s="22" t="str"/>
      <x:c r="G181" s="22" t="str">
        <x:v>calculated</x:v>
      </x:c>
      <x:c r="H181" s="22" t="str">
        <x:v>FAIL</x:v>
      </x:c>
      <x:c r="I181" s="22" t="str"/>
    </x:row>
    <x:row r="182" ht="15" hidden="0" customHeight="1">
      <x:c r="A182" s="22" t="str">
        <x:v>31_IDC_Filter</x:v>
      </x:c>
      <x:c r="B182" s="22" t="str">
        <x:v>required_bandwidth_hz</x:v>
      </x:c>
      <x:c r="C182" s="22" t="n">
        <x:v>10000</x:v>
      </x:c>
      <x:c r="D182" s="22" t="str">
        <x:v>Hz</x:v>
      </x:c>
      <x:c r="E182" s="22" t="str">
        <x:v>max(Kbw*floop, floop/tan(phi_budget))</x:v>
      </x:c>
      <x:c r="F182" s="22" t="str"/>
      <x:c r="G182" s="22" t="str">
        <x:v>calculated</x:v>
      </x:c>
      <x:c r="H182" s="22" t="str">
        <x:v>PASS</x:v>
      </x:c>
      <x:c r="I182" s="22" t="str"/>
    </x:row>
    <x:row r="183" ht="26.399999618530273" hidden="0" customHeight="1">
      <x:c r="A183" s="22" t="str">
        <x:v>31_IDC_Filter</x:v>
      </x:c>
      <x:c r="B183" s="22" t="str">
        <x:v>loop_gain_ratio</x:v>
      </x:c>
      <x:c r="C183" s="22" t="n">
        <x:v>0.9592091848328073</x:v>
      </x:c>
      <x:c r="D183" s="22" t="str">
        <x:v>pu</x:v>
      </x:c>
      <x:c r="E183" s="22" t="str">
        <x:v>1/sqrt(1+(floop/fc)^2)</x:v>
      </x:c>
      <x:c r="F183" s="22" t="str"/>
      <x:c r="G183" s="22" t="str">
        <x:v>calculated</x:v>
      </x:c>
      <x:c r="H183" s="22" t="str">
        <x:v>PASS</x:v>
      </x:c>
      <x:c r="I183" s="22" t="str"/>
    </x:row>
    <x:row r="184" ht="26.399999618530273" hidden="0" customHeight="1">
      <x:c r="A184" s="22" t="str">
        <x:v>31_IDC_Filter</x:v>
      </x:c>
      <x:c r="B184" s="22" t="str">
        <x:v>loop_phase_loss_deg</x:v>
      </x:c>
      <x:c r="C184" s="22" t="n">
        <x:v>16.421251669078007</x:v>
      </x:c>
      <x:c r="D184" s="22" t="str">
        <x:v>deg</x:v>
      </x:c>
      <x:c r="E184" s="22" t="str">
        <x:v>atan(floop/fc)</x:v>
      </x:c>
      <x:c r="F184" s="22" t="str"/>
      <x:c r="G184" s="22" t="str">
        <x:v>calculated</x:v>
      </x:c>
      <x:c r="H184" s="22" t="str">
        <x:v>FAIL</x:v>
      </x:c>
      <x:c r="I184" s="22" t="str"/>
    </x:row>
    <x:row r="185" ht="26.399999618530273" hidden="0" customHeight="1">
      <x:c r="A185" s="22" t="str">
        <x:v>31_IDC_Filter</x:v>
      </x:c>
      <x:c r="B185" s="22" t="str">
        <x:v>switching_attenuation_db</x:v>
      </x:c>
      <x:c r="C185" s="22" t="n">
        <x:v>-26.89827037859558</x:v>
      </x:c>
      <x:c r="D185" s="22" t="str">
        <x:v>dB</x:v>
      </x:c>
      <x:c r="E185" s="22" t="str">
        <x:v>-10*log10(1+(fsw/fc)^2)</x:v>
      </x:c>
      <x:c r="F185" s="22" t="str"/>
      <x:c r="G185" s="22" t="str">
        <x:v>calculated</x:v>
      </x:c>
      <x:c r="H185" s="22" t="str">
        <x:v>PASS</x:v>
      </x:c>
      <x:c r="I185" s="22" t="str"/>
    </x:row>
    <x:row r="186" ht="26.399999618530273" hidden="0" customHeight="1">
      <x:c r="A186" s="22" t="str">
        <x:v>43_VDC_Filter</x:v>
      </x:c>
      <x:c r="B186" s="22" t="str">
        <x:v>rc_cutoff_hz</x:v>
      </x:c>
      <x:c r="C186" s="22" t="n">
        <x:v>6786.123015899687</x:v>
      </x:c>
      <x:c r="D186" s="22" t="str">
        <x:v>Hz</x:v>
      </x:c>
      <x:c r="E186" s="22" t="str">
        <x:v>1/(2*pi*R*C)</x:v>
      </x:c>
      <x:c r="F186" s="22" t="str"/>
      <x:c r="G186" s="22" t="str">
        <x:v>calculated</x:v>
      </x:c>
      <x:c r="H186" s="22" t="str">
        <x:v>PASS</x:v>
      </x:c>
      <x:c r="I186" s="22" t="str"/>
    </x:row>
    <x:row r="187" ht="26.399999618530273" hidden="0" customHeight="1">
      <x:c r="A187" s="22" t="str">
        <x:v>43_VDC_Filter</x:v>
      </x:c>
      <x:c r="B187" s="22" t="str">
        <x:v>effective_bandwidth_hz</x:v>
      </x:c>
      <x:c r="C187" s="22" t="n">
        <x:v>6786.123015899687</x:v>
      </x:c>
      <x:c r="D187" s="22" t="str">
        <x:v>Hz</x:v>
      </x:c>
      <x:c r="E187" s="22" t="str">
        <x:v>min(RC cutoff, sensor bandwidth)</x:v>
      </x:c>
      <x:c r="F187" s="22" t="str"/>
      <x:c r="G187" s="22" t="str">
        <x:v>calculated</x:v>
      </x:c>
      <x:c r="H187" s="22" t="str">
        <x:v>PASS</x:v>
      </x:c>
      <x:c r="I187" s="22" t="str"/>
    </x:row>
    <x:row r="188" ht="26.399999618530273" hidden="0" customHeight="1">
      <x:c r="A188" s="22" t="str">
        <x:v>43_VDC_Filter</x:v>
      </x:c>
      <x:c r="B188" s="22" t="str">
        <x:v>required_bandwidth_hz</x:v>
      </x:c>
      <x:c r="C188" s="22" t="n">
        <x:v>228.60104605522685</x:v>
      </x:c>
      <x:c r="D188" s="22" t="str">
        <x:v>Hz</x:v>
      </x:c>
      <x:c r="E188" s="22" t="str">
        <x:v>max(Kbw*floop, floop/tan(phi_budget))</x:v>
      </x:c>
      <x:c r="F188" s="22" t="str"/>
      <x:c r="G188" s="22" t="str">
        <x:v>calculated</x:v>
      </x:c>
      <x:c r="H188" s="22" t="str">
        <x:v>PASS</x:v>
      </x:c>
      <x:c r="I188" s="22" t="str"/>
    </x:row>
    <x:row r="189" ht="26.399999618530273" hidden="0" customHeight="1">
      <x:c r="A189" s="22" t="str">
        <x:v>43_VDC_Filter</x:v>
      </x:c>
      <x:c r="B189" s="22" t="str">
        <x:v>loop_gain_ratio</x:v>
      </x:c>
      <x:c r="C189" s="22" t="n">
        <x:v>0.9999956570611909</x:v>
      </x:c>
      <x:c r="D189" s="22" t="str">
        <x:v>pu</x:v>
      </x:c>
      <x:c r="E189" s="22" t="str">
        <x:v>1/sqrt(1+(floop/fc)^2)</x:v>
      </x:c>
      <x:c r="F189" s="22" t="str"/>
      <x:c r="G189" s="22" t="str">
        <x:v>calculated</x:v>
      </x:c>
      <x:c r="H189" s="22" t="str">
        <x:v>PASS</x:v>
      </x:c>
      <x:c r="I189" s="22" t="str"/>
    </x:row>
    <x:row r="190" ht="26.399999618530273" hidden="0" customHeight="1">
      <x:c r="A190" s="22" t="str">
        <x:v>43_VDC_Filter</x:v>
      </x:c>
      <x:c r="B190" s="22" t="str">
        <x:v>loop_phase_loss_deg</x:v>
      </x:c>
      <x:c r="C190" s="22" t="n">
        <x:v>0.16886111109563232</x:v>
      </x:c>
      <x:c r="D190" s="22" t="str">
        <x:v>deg</x:v>
      </x:c>
      <x:c r="E190" s="22" t="str">
        <x:v>atan(floop/fc)</x:v>
      </x:c>
      <x:c r="F190" s="22" t="str"/>
      <x:c r="G190" s="22" t="str">
        <x:v>calculated</x:v>
      </x:c>
      <x:c r="H190" s="22" t="str">
        <x:v>PASS</x:v>
      </x:c>
      <x:c r="I190" s="22" t="str"/>
    </x:row>
    <x:row r="191" ht="26.399999618530273" hidden="0" customHeight="1">
      <x:c r="A191" s="22" t="str">
        <x:v>43_VDC_Filter</x:v>
      </x:c>
      <x:c r="B191" s="22" t="str">
        <x:v>switching_attenuation_db</x:v>
      </x:c>
      <x:c r="C191" s="22" t="n">
        <x:v>-26.89827037859558</x:v>
      </x:c>
      <x:c r="D191" s="22" t="str">
        <x:v>dB</x:v>
      </x:c>
      <x:c r="E191" s="22" t="str">
        <x:v>-10*log10(1+(fsw/fc)^2)</x:v>
      </x:c>
      <x:c r="F191" s="22" t="str"/>
      <x:c r="G191" s="22" t="str">
        <x:v>calculated</x:v>
      </x:c>
      <x:c r="H191" s="22" t="str">
        <x:v>PASS</x:v>
      </x:c>
      <x:c r="I191" s="22" t="str"/>
    </x:row>
    <x:row r="192" ht="26.399999618530273" hidden="0" customHeight="1">
      <x:c r="A192" s="22" t="str">
        <x:v>50_ADC_Timing</x:v>
      </x:c>
      <x:c r="B192" s="22" t="str">
        <x:v>adc_lsb_v</x:v>
      </x:c>
      <x:c r="C192" s="22" t="n">
        <x:v>0.000732421875</x:v>
      </x:c>
      <x:c r="D192" s="22" t="str">
        <x:v>V/code</x:v>
      </x:c>
      <x:c r="E192" s="22" t="str">
        <x:v>Vref/2^N</x:v>
      </x:c>
      <x:c r="F192" s="22" t="str"/>
      <x:c r="G192" s="22" t="str">
        <x:v>calculated</x:v>
      </x:c>
      <x:c r="H192" s="22" t="str">
        <x:v>PASS</x:v>
      </x:c>
      <x:c r="I192" s="22" t="str"/>
    </x:row>
    <x:row r="193" ht="15" hidden="0" customHeight="1">
      <x:c r="A193" s="22" t="str">
        <x:v>50_ADC_Timing</x:v>
      </x:c>
      <x:c r="B193" s="22" t="str">
        <x:v>configured_sample_cycles</x:v>
      </x:c>
      <x:c r="C193" s="22" t="n">
        <x:v>20</x:v>
      </x:c>
      <x:c r="D193" s="22" t="str">
        <x:v>SYSCLK</x:v>
      </x:c>
      <x:c r="E193" s="22" t="str"/>
      <x:c r="F193" s="22" t="str"/>
      <x:c r="G193" s="22" t="str">
        <x:v>calculated</x:v>
      </x:c>
      <x:c r="H193" s="22" t="str">
        <x:v>PASS</x:v>
      </x:c>
      <x:c r="I193" s="22" t="str"/>
    </x:row>
    <x:row r="194" ht="15" hidden="0" customHeight="1">
      <x:c r="A194" s="22" t="str">
        <x:v>50_ADC_Timing</x:v>
      </x:c>
      <x:c r="B194" s="22" t="str">
        <x:v>configured_sample_time_s</x:v>
      </x:c>
      <x:c r="C194" s="22" t="n">
        <x:v>1e-7</x:v>
      </x:c>
      <x:c r="D194" s="22" t="str">
        <x:v>s</x:v>
      </x:c>
      <x:c r="E194" s="22" t="str">
        <x:v>cycles/fsysclk</x:v>
      </x:c>
      <x:c r="F194" s="22" t="str"/>
      <x:c r="G194" s="22" t="str">
        <x:v>calculated</x:v>
      </x:c>
      <x:c r="H194" s="22" t="str">
        <x:v>PASS</x:v>
      </x:c>
      <x:c r="I194" s="22" t="str"/>
    </x:row>
    <x:row r="195" ht="26.399999618530273" hidden="0" customHeight="1">
      <x:c r="A195" s="22" t="str">
        <x:v>50_ADC_Timing</x:v>
      </x:c>
      <x:c r="B195" s="22" t="str">
        <x:v>simplified_tau_s</x:v>
      </x:c>
      <x:c r="C195" s="22" t="n">
        <x:v>3e-9</x:v>
      </x:c>
      <x:c r="D195" s="22" t="str">
        <x:v>s</x:v>
      </x:c>
      <x:c r="E195" s="22" t="str">
        <x:v>Rsource*Ctotal</x:v>
      </x:c>
      <x:c r="F195" s="22" t="str"/>
      <x:c r="G195" s="22" t="str">
        <x:v>calculated</x:v>
      </x:c>
      <x:c r="H195" s="22" t="str">
        <x:v>PASS</x:v>
      </x:c>
      <x:c r="I195" s="22" t="str"/>
    </x:row>
    <x:row r="196" ht="26.399999618530273" hidden="0" customHeight="1">
      <x:c r="A196" s="22" t="str">
        <x:v>50_ADC_Timing</x:v>
      </x:c>
      <x:c r="B196" s="22" t="str">
        <x:v>simplified_required_time_s</x:v>
      </x:c>
      <x:c r="C196" s="22" t="n">
        <x:v>2.7032740041837863e-8</x:v>
      </x:c>
      <x:c r="D196" s="22" t="str">
        <x:v>s</x:v>
      </x:c>
      <x:c r="E196" s="22" t="str">
        <x:v>-tau*ln(target_lsb/2^N)</x:v>
      </x:c>
      <x:c r="F196" s="22" t="str"/>
      <x:c r="G196" s="22" t="str">
        <x:v>calculated</x:v>
      </x:c>
      <x:c r="H196" s="22" t="str">
        <x:v>PASS</x:v>
      </x:c>
      <x:c r="I196" s="22" t="str"/>
    </x:row>
    <x:row r="197" ht="26.399999618530273" hidden="0" customHeight="1">
      <x:c r="A197" s="22" t="str">
        <x:v>50_ADC_Timing</x:v>
      </x:c>
      <x:c r="B197" s="22" t="str">
        <x:v>simplified_recommended_time_s</x:v>
      </x:c>
      <x:c r="C197" s="22" t="n">
        <x:v>4.0549110062756793e-8</x:v>
      </x:c>
      <x:c r="D197" s="22" t="str">
        <x:v>s</x:v>
      </x:c>
      <x:c r="E197" s="22" t="str">
        <x:v>treq*Ksafety</x:v>
      </x:c>
      <x:c r="F197" s="22" t="str"/>
      <x:c r="G197" s="22" t="str">
        <x:v>calculated</x:v>
      </x:c>
      <x:c r="H197" s="22" t="str">
        <x:v>PASS</x:v>
      </x:c>
      <x:c r="I197" s="22" t="str"/>
    </x:row>
    <x:row r="198" ht="15" hidden="0" customHeight="1">
      <x:c r="A198" s="22" t="str">
        <x:v>50_ADC_Timing</x:v>
      </x:c>
      <x:c r="B198" s="22" t="str">
        <x:v>simplified_recommended_cycles</x:v>
      </x:c>
      <x:c r="C198" s="22" t="n">
        <x:v>9</x:v>
      </x:c>
      <x:c r="D198" s="22" t="str">
        <x:v>SYSCLK</x:v>
      </x:c>
      <x:c r="E198" s="22" t="str">
        <x:v>ceil(trec*fsysclk)</x:v>
      </x:c>
      <x:c r="F198" s="22" t="str"/>
      <x:c r="G198" s="22" t="str">
        <x:v>calculated</x:v>
      </x:c>
      <x:c r="H198" s="22" t="str">
        <x:v>PASS</x:v>
      </x:c>
      <x:c r="I198" s="22" t="str"/>
    </x:row>
    <x:row r="199" ht="52.79999923706055" hidden="0" customHeight="1">
      <x:c r="A199" s="22" t="str">
        <x:v>50_ADC_Timing</x:v>
      </x:c>
      <x:c r="B199" s="22" t="str">
        <x:v>exact_recommended_cycles</x:v>
      </x:c>
      <x:c r="C199" s="22"/>
      <x:c r="D199" s="22" t="str">
        <x:v>SYSCLK</x:v>
      </x:c>
      <x:c r="E199" s="22" t="str"/>
      <x:c r="F199" s="22" t="str"/>
      <x:c r="G199" s="22" t="str">
        <x:v>missing device parameters</x:v>
      </x:c>
      <x:c r="H199" s="22" t="str">
        <x:v>NOT_EVALUATED</x:v>
      </x:c>
      <x:c r="I199" s="22" t="str">
        <x:v>Enter F29H85x sample capacitor and switch resistance from the applicable data sheet/model.</x:v>
      </x:c>
    </x:row>
    <x:row r="200" ht="26.399999618530273" hidden="0" customHeight="1">
      <x:c r="A200" s="22" t="str">
        <x:v>55_IAC_Delay</x:v>
      </x:c>
      <x:c r="B200" s="22" t="str">
        <x:v>sensor_delay_s</x:v>
      </x:c>
      <x:c r="C200" s="22" t="n">
        <x:v>5e-8</x:v>
      </x:c>
      <x:c r="D200" s="22" t="str">
        <x:v>s</x:v>
      </x:c>
      <x:c r="E200" s="22" t="str"/>
      <x:c r="F200" s="22" t="str"/>
      <x:c r="G200" s="22" t="str">
        <x:v>calculated</x:v>
      </x:c>
      <x:c r="H200" s="22" t="str">
        <x:v>PASS</x:v>
      </x:c>
      <x:c r="I200" s="22" t="str"/>
    </x:row>
    <x:row r="201" ht="15" hidden="0" customHeight="1">
      <x:c r="A201" s="22" t="str">
        <x:v>55_IAC_Delay</x:v>
      </x:c>
      <x:c r="B201" s="22" t="str">
        <x:v>isolation_delay_s</x:v>
      </x:c>
      <x:c r="C201" s="22" t="n">
        <x:v>0</x:v>
      </x:c>
      <x:c r="D201" s="22" t="str">
        <x:v>s</x:v>
      </x:c>
      <x:c r="E201" s="22" t="str"/>
      <x:c r="F201" s="22" t="str"/>
      <x:c r="G201" s="22" t="str">
        <x:v>calculated</x:v>
      </x:c>
      <x:c r="H201" s="22" t="str">
        <x:v>PASS</x:v>
      </x:c>
      <x:c r="I201" s="22" t="str"/>
    </x:row>
    <x:row r="202" ht="26.399999618530273" hidden="0" customHeight="1">
      <x:c r="A202" s="22" t="str">
        <x:v>55_IAC_Delay</x:v>
      </x:c>
      <x:c r="B202" s="22" t="str">
        <x:v>adc_delay_s</x:v>
      </x:c>
      <x:c r="C202" s="22"/>
      <x:c r="D202" s="22" t="str">
        <x:v>s</x:v>
      </x:c>
      <x:c r="E202" s="22" t="str"/>
      <x:c r="F202" s="22" t="str"/>
      <x:c r="G202" s="22" t="str">
        <x:v>calculated</x:v>
      </x:c>
      <x:c r="H202" s="22" t="str">
        <x:v>NOT_EVALUATED</x:v>
      </x:c>
      <x:c r="I202" s="22" t="str"/>
    </x:row>
    <x:row r="203" ht="26.399999618530273" hidden="0" customHeight="1">
      <x:c r="A203" s="22" t="str">
        <x:v>55_IAC_Delay</x:v>
      </x:c>
      <x:c r="B203" s="22" t="str">
        <x:v>isr_delay_s</x:v>
      </x:c>
      <x:c r="C203" s="22"/>
      <x:c r="D203" s="22" t="str">
        <x:v>s</x:v>
      </x:c>
      <x:c r="E203" s="22" t="str"/>
      <x:c r="F203" s="22" t="str"/>
      <x:c r="G203" s="22" t="str">
        <x:v>calculated</x:v>
      </x:c>
      <x:c r="H203" s="22" t="str">
        <x:v>NOT_EVALUATED</x:v>
      </x:c>
      <x:c r="I203" s="22" t="str"/>
    </x:row>
    <x:row r="204" ht="26.399999618530273" hidden="0" customHeight="1">
      <x:c r="A204" s="22" t="str">
        <x:v>55_IAC_Delay</x:v>
      </x:c>
      <x:c r="B204" s="22" t="str">
        <x:v>pwm_delay_s</x:v>
      </x:c>
      <x:c r="C204" s="22"/>
      <x:c r="D204" s="22" t="str">
        <x:v>s</x:v>
      </x:c>
      <x:c r="E204" s="22" t="str"/>
      <x:c r="F204" s="22" t="str"/>
      <x:c r="G204" s="22" t="str">
        <x:v>calculated</x:v>
      </x:c>
      <x:c r="H204" s="22" t="str">
        <x:v>NOT_EVALUATED</x:v>
      </x:c>
      <x:c r="I204" s="22" t="str"/>
    </x:row>
    <x:row r="205" ht="26.399999618530273" hidden="0" customHeight="1">
      <x:c r="A205" s="22" t="str">
        <x:v>55_IAC_Delay</x:v>
      </x:c>
      <x:c r="B205" s="22" t="str">
        <x:v>known_delay_total_s</x:v>
      </x:c>
      <x:c r="C205" s="22" t="n">
        <x:v>5e-8</x:v>
      </x:c>
      <x:c r="D205" s="22" t="str">
        <x:v>s</x:v>
      </x:c>
      <x:c r="E205" s="22" t="str">
        <x:v>sum(known delays)</x:v>
      </x:c>
      <x:c r="F205" s="22" t="str"/>
      <x:c r="G205" s="22" t="str">
        <x:v>calculated</x:v>
      </x:c>
      <x:c r="H205" s="22" t="str">
        <x:v>PASS</x:v>
      </x:c>
      <x:c r="I205" s="22" t="str"/>
    </x:row>
    <x:row r="206" ht="26.399999618530273" hidden="0" customHeight="1">
      <x:c r="A206" s="22" t="str">
        <x:v>55_IAC_Delay</x:v>
      </x:c>
      <x:c r="B206" s="22" t="str">
        <x:v>known_delay_phase_deg</x:v>
      </x:c>
      <x:c r="C206" s="22" t="n">
        <x:v>0.054</x:v>
      </x:c>
      <x:c r="D206" s="22" t="str">
        <x:v>deg</x:v>
      </x:c>
      <x:c r="E206" s="22" t="str">
        <x:v>360*floop*Tdelay</x:v>
      </x:c>
      <x:c r="F206" s="22" t="str"/>
      <x:c r="G206" s="22" t="str">
        <x:v>calculated</x:v>
      </x:c>
      <x:c r="H206" s="22" t="str">
        <x:v>NOT_EVALUATED</x:v>
      </x:c>
      <x:c r="I206" s="22" t="str"/>
    </x:row>
    <x:row r="207" ht="15" hidden="0" customHeight="1">
      <x:c r="A207" s="22" t="str">
        <x:v>55_IDC_Delay</x:v>
      </x:c>
      <x:c r="B207" s="22" t="str">
        <x:v>sensor_delay_s</x:v>
      </x:c>
      <x:c r="C207" s="22" t="n">
        <x:v>0</x:v>
      </x:c>
      <x:c r="D207" s="22" t="str">
        <x:v>s</x:v>
      </x:c>
      <x:c r="E207" s="22" t="str"/>
      <x:c r="F207" s="22" t="str"/>
      <x:c r="G207" s="22" t="str">
        <x:v>calculated</x:v>
      </x:c>
      <x:c r="H207" s="22" t="str">
        <x:v>PASS</x:v>
      </x:c>
      <x:c r="I207" s="22" t="str"/>
    </x:row>
    <x:row r="208" ht="26.399999618530273" hidden="0" customHeight="1">
      <x:c r="A208" s="22" t="str">
        <x:v>55_IDC_Delay</x:v>
      </x:c>
      <x:c r="B208" s="22" t="str">
        <x:v>isolation_delay_s</x:v>
      </x:c>
      <x:c r="C208" s="22"/>
      <x:c r="D208" s="22" t="str">
        <x:v>s</x:v>
      </x:c>
      <x:c r="E208" s="22" t="str"/>
      <x:c r="F208" s="22" t="str"/>
      <x:c r="G208" s="22" t="str">
        <x:v>calculated</x:v>
      </x:c>
      <x:c r="H208" s="22" t="str">
        <x:v>NOT_EVALUATED</x:v>
      </x:c>
      <x:c r="I208" s="22" t="str"/>
    </x:row>
    <x:row r="209" ht="26.399999618530273" hidden="0" customHeight="1">
      <x:c r="A209" s="22" t="str">
        <x:v>55_IDC_Delay</x:v>
      </x:c>
      <x:c r="B209" s="22" t="str">
        <x:v>adc_delay_s</x:v>
      </x:c>
      <x:c r="C209" s="22"/>
      <x:c r="D209" s="22" t="str">
        <x:v>s</x:v>
      </x:c>
      <x:c r="E209" s="22" t="str"/>
      <x:c r="F209" s="22" t="str"/>
      <x:c r="G209" s="22" t="str">
        <x:v>calculated</x:v>
      </x:c>
      <x:c r="H209" s="22" t="str">
        <x:v>NOT_EVALUATED</x:v>
      </x:c>
      <x:c r="I209" s="22" t="str"/>
    </x:row>
    <x:row r="210" ht="26.399999618530273" hidden="0" customHeight="1">
      <x:c r="A210" s="22" t="str">
        <x:v>55_IDC_Delay</x:v>
      </x:c>
      <x:c r="B210" s="22" t="str">
        <x:v>isr_delay_s</x:v>
      </x:c>
      <x:c r="C210" s="22"/>
      <x:c r="D210" s="22" t="str">
        <x:v>s</x:v>
      </x:c>
      <x:c r="E210" s="22" t="str"/>
      <x:c r="F210" s="22" t="str"/>
      <x:c r="G210" s="22" t="str">
        <x:v>calculated</x:v>
      </x:c>
      <x:c r="H210" s="22" t="str">
        <x:v>NOT_EVALUATED</x:v>
      </x:c>
      <x:c r="I210" s="22" t="str"/>
    </x:row>
    <x:row r="211" ht="26.399999618530273" hidden="0" customHeight="1">
      <x:c r="A211" s="22" t="str">
        <x:v>55_IDC_Delay</x:v>
      </x:c>
      <x:c r="B211" s="22" t="str">
        <x:v>pwm_delay_s</x:v>
      </x:c>
      <x:c r="C211" s="22"/>
      <x:c r="D211" s="22" t="str">
        <x:v>s</x:v>
      </x:c>
      <x:c r="E211" s="22" t="str"/>
      <x:c r="F211" s="22" t="str"/>
      <x:c r="G211" s="22" t="str">
        <x:v>calculated</x:v>
      </x:c>
      <x:c r="H211" s="22" t="str">
        <x:v>NOT_EVALUATED</x:v>
      </x:c>
      <x:c r="I211" s="22" t="str"/>
    </x:row>
    <x:row r="212" ht="15" hidden="0" customHeight="1">
      <x:c r="A212" s="22" t="str">
        <x:v>55_IDC_Delay</x:v>
      </x:c>
      <x:c r="B212" s="22" t="str">
        <x:v>known_delay_total_s</x:v>
      </x:c>
      <x:c r="C212" s="22" t="n">
        <x:v>0</x:v>
      </x:c>
      <x:c r="D212" s="22" t="str">
        <x:v>s</x:v>
      </x:c>
      <x:c r="E212" s="22" t="str">
        <x:v>sum(known delays)</x:v>
      </x:c>
      <x:c r="F212" s="22" t="str"/>
      <x:c r="G212" s="22" t="str">
        <x:v>calculated</x:v>
      </x:c>
      <x:c r="H212" s="22" t="str">
        <x:v>PASS</x:v>
      </x:c>
      <x:c r="I212" s="22" t="str"/>
    </x:row>
    <x:row r="213" ht="26.399999618530273" hidden="0" customHeight="1">
      <x:c r="A213" s="22" t="str">
        <x:v>55_IDC_Delay</x:v>
      </x:c>
      <x:c r="B213" s="22" t="str">
        <x:v>known_delay_phase_deg</x:v>
      </x:c>
      <x:c r="C213" s="22" t="n">
        <x:v>0</x:v>
      </x:c>
      <x:c r="D213" s="22" t="str">
        <x:v>deg</x:v>
      </x:c>
      <x:c r="E213" s="22" t="str">
        <x:v>360*floop*Tdelay</x:v>
      </x:c>
      <x:c r="F213" s="22" t="str"/>
      <x:c r="G213" s="22" t="str">
        <x:v>calculated</x:v>
      </x:c>
      <x:c r="H213" s="22" t="str">
        <x:v>NOT_EVALUATED</x:v>
      </x:c>
      <x:c r="I213" s="22" t="str"/>
    </x:row>
    <x:row r="214" ht="15" hidden="0" customHeight="1">
      <x:c r="A214" s="22" t="str">
        <x:v>55_VAC_Delay</x:v>
      </x:c>
      <x:c r="B214" s="22" t="str">
        <x:v>sensor_delay_s</x:v>
      </x:c>
      <x:c r="C214" s="22" t="n">
        <x:v>0</x:v>
      </x:c>
      <x:c r="D214" s="22" t="str">
        <x:v>s</x:v>
      </x:c>
      <x:c r="E214" s="22" t="str"/>
      <x:c r="F214" s="22" t="str"/>
      <x:c r="G214" s="22" t="str">
        <x:v>calculated</x:v>
      </x:c>
      <x:c r="H214" s="22" t="str">
        <x:v>PASS</x:v>
      </x:c>
      <x:c r="I214" s="22" t="str"/>
    </x:row>
    <x:row r="215" ht="15" hidden="0" customHeight="1">
      <x:c r="A215" s="22" t="str">
        <x:v>55_VAC_Delay</x:v>
      </x:c>
      <x:c r="B215" s="22" t="str">
        <x:v>isolation_delay_s</x:v>
      </x:c>
      <x:c r="C215" s="22" t="n">
        <x:v>0.0000029</x:v>
      </x:c>
      <x:c r="D215" s="22" t="str">
        <x:v>s</x:v>
      </x:c>
      <x:c r="E215" s="22" t="str"/>
      <x:c r="F215" s="22" t="str"/>
      <x:c r="G215" s="22" t="str">
        <x:v>calculated</x:v>
      </x:c>
      <x:c r="H215" s="22" t="str">
        <x:v>PASS</x:v>
      </x:c>
      <x:c r="I215" s="22" t="str"/>
    </x:row>
    <x:row r="216" ht="26.399999618530273" hidden="0" customHeight="1">
      <x:c r="A216" s="22" t="str">
        <x:v>55_VAC_Delay</x:v>
      </x:c>
      <x:c r="B216" s="22" t="str">
        <x:v>adc_delay_s</x:v>
      </x:c>
      <x:c r="C216" s="22"/>
      <x:c r="D216" s="22" t="str">
        <x:v>s</x:v>
      </x:c>
      <x:c r="E216" s="22" t="str"/>
      <x:c r="F216" s="22" t="str"/>
      <x:c r="G216" s="22" t="str">
        <x:v>calculated</x:v>
      </x:c>
      <x:c r="H216" s="22" t="str">
        <x:v>NOT_EVALUATED</x:v>
      </x:c>
      <x:c r="I216" s="22" t="str"/>
    </x:row>
    <x:row r="217" ht="26.399999618530273" hidden="0" customHeight="1">
      <x:c r="A217" s="22" t="str">
        <x:v>55_VAC_Delay</x:v>
      </x:c>
      <x:c r="B217" s="22" t="str">
        <x:v>isr_delay_s</x:v>
      </x:c>
      <x:c r="C217" s="22"/>
      <x:c r="D217" s="22" t="str">
        <x:v>s</x:v>
      </x:c>
      <x:c r="E217" s="22" t="str"/>
      <x:c r="F217" s="22" t="str"/>
      <x:c r="G217" s="22" t="str">
        <x:v>calculated</x:v>
      </x:c>
      <x:c r="H217" s="22" t="str">
        <x:v>NOT_EVALUATED</x:v>
      </x:c>
      <x:c r="I217" s="22" t="str"/>
    </x:row>
    <x:row r="218" ht="26.399999618530273" hidden="0" customHeight="1">
      <x:c r="A218" s="22" t="str">
        <x:v>55_VAC_Delay</x:v>
      </x:c>
      <x:c r="B218" s="22" t="str">
        <x:v>pwm_delay_s</x:v>
      </x:c>
      <x:c r="C218" s="22"/>
      <x:c r="D218" s="22" t="str">
        <x:v>s</x:v>
      </x:c>
      <x:c r="E218" s="22" t="str"/>
      <x:c r="F218" s="22" t="str"/>
      <x:c r="G218" s="22" t="str">
        <x:v>calculated</x:v>
      </x:c>
      <x:c r="H218" s="22" t="str">
        <x:v>NOT_EVALUATED</x:v>
      </x:c>
      <x:c r="I218" s="22" t="str"/>
    </x:row>
    <x:row r="219" ht="15" hidden="0" customHeight="1">
      <x:c r="A219" s="22" t="str">
        <x:v>55_VAC_Delay</x:v>
      </x:c>
      <x:c r="B219" s="22" t="str">
        <x:v>known_delay_total_s</x:v>
      </x:c>
      <x:c r="C219" s="22" t="n">
        <x:v>0.0000029</x:v>
      </x:c>
      <x:c r="D219" s="22" t="str">
        <x:v>s</x:v>
      </x:c>
      <x:c r="E219" s="22" t="str">
        <x:v>sum(known delays)</x:v>
      </x:c>
      <x:c r="F219" s="22" t="str"/>
      <x:c r="G219" s="22" t="str">
        <x:v>calculated</x:v>
      </x:c>
      <x:c r="H219" s="22" t="str">
        <x:v>PASS</x:v>
      </x:c>
      <x:c r="I219" s="22" t="str"/>
    </x:row>
    <x:row r="220" ht="26.399999618530273" hidden="0" customHeight="1">
      <x:c r="A220" s="22" t="str">
        <x:v>55_VAC_Delay</x:v>
      </x:c>
      <x:c r="B220" s="22" t="str">
        <x:v>known_delay_phase_deg</x:v>
      </x:c>
      <x:c r="C220" s="22" t="n">
        <x:v>0.03132</x:v>
      </x:c>
      <x:c r="D220" s="22" t="str">
        <x:v>deg</x:v>
      </x:c>
      <x:c r="E220" s="22" t="str">
        <x:v>360*floop*Tdelay</x:v>
      </x:c>
      <x:c r="F220" s="22" t="str"/>
      <x:c r="G220" s="22" t="str">
        <x:v>calculated</x:v>
      </x:c>
      <x:c r="H220" s="22" t="str">
        <x:v>NOT_EVALUATED</x:v>
      </x:c>
      <x:c r="I220" s="22" t="str"/>
    </x:row>
    <x:row r="221" ht="26.399999618530273" hidden="0" customHeight="1">
      <x:c r="A221" s="22" t="str">
        <x:v>55_VDC_Delay</x:v>
      </x:c>
      <x:c r="B221" s="22" t="str">
        <x:v>sensor_delay_s</x:v>
      </x:c>
      <x:c r="C221" s="22"/>
      <x:c r="D221" s="22" t="str">
        <x:v>s</x:v>
      </x:c>
      <x:c r="E221" s="22" t="str"/>
      <x:c r="F221" s="22" t="str"/>
      <x:c r="G221" s="22" t="str">
        <x:v>calculated</x:v>
      </x:c>
      <x:c r="H221" s="22" t="str">
        <x:v>NOT_EVALUATED</x:v>
      </x:c>
      <x:c r="I221" s="22" t="str"/>
    </x:row>
    <x:row r="222" ht="26.399999618530273" hidden="0" customHeight="1">
      <x:c r="A222" s="22" t="str">
        <x:v>55_VDC_Delay</x:v>
      </x:c>
      <x:c r="B222" s="22" t="str">
        <x:v>isolation_delay_s</x:v>
      </x:c>
      <x:c r="C222" s="22"/>
      <x:c r="D222" s="22" t="str">
        <x:v>s</x:v>
      </x:c>
      <x:c r="E222" s="22" t="str"/>
      <x:c r="F222" s="22" t="str"/>
      <x:c r="G222" s="22" t="str">
        <x:v>calculated</x:v>
      </x:c>
      <x:c r="H222" s="22" t="str">
        <x:v>NOT_EVALUATED</x:v>
      </x:c>
      <x:c r="I222" s="22" t="str"/>
    </x:row>
    <x:row r="223" ht="26.399999618530273" hidden="0" customHeight="1">
      <x:c r="A223" s="22" t="str">
        <x:v>55_VDC_Delay</x:v>
      </x:c>
      <x:c r="B223" s="22" t="str">
        <x:v>adc_delay_s</x:v>
      </x:c>
      <x:c r="C223" s="22"/>
      <x:c r="D223" s="22" t="str">
        <x:v>s</x:v>
      </x:c>
      <x:c r="E223" s="22" t="str"/>
      <x:c r="F223" s="22" t="str"/>
      <x:c r="G223" s="22" t="str">
        <x:v>calculated</x:v>
      </x:c>
      <x:c r="H223" s="22" t="str">
        <x:v>NOT_EVALUATED</x:v>
      </x:c>
      <x:c r="I223" s="22" t="str"/>
    </x:row>
    <x:row r="224" ht="26.399999618530273" hidden="0" customHeight="1">
      <x:c r="A224" s="22" t="str">
        <x:v>55_VDC_Delay</x:v>
      </x:c>
      <x:c r="B224" s="22" t="str">
        <x:v>isr_delay_s</x:v>
      </x:c>
      <x:c r="C224" s="22"/>
      <x:c r="D224" s="22" t="str">
        <x:v>s</x:v>
      </x:c>
      <x:c r="E224" s="22" t="str"/>
      <x:c r="F224" s="22" t="str"/>
      <x:c r="G224" s="22" t="str">
        <x:v>calculated</x:v>
      </x:c>
      <x:c r="H224" s="22" t="str">
        <x:v>NOT_EVALUATED</x:v>
      </x:c>
      <x:c r="I224" s="22" t="str"/>
    </x:row>
    <x:row r="225" ht="26.399999618530273" hidden="0" customHeight="1">
      <x:c r="A225" s="22" t="str">
        <x:v>55_VDC_Delay</x:v>
      </x:c>
      <x:c r="B225" s="22" t="str">
        <x:v>pwm_delay_s</x:v>
      </x:c>
      <x:c r="C225" s="22"/>
      <x:c r="D225" s="22" t="str">
        <x:v>s</x:v>
      </x:c>
      <x:c r="E225" s="22" t="str"/>
      <x:c r="F225" s="22" t="str"/>
      <x:c r="G225" s="22" t="str">
        <x:v>calculated</x:v>
      </x:c>
      <x:c r="H225" s="22" t="str">
        <x:v>NOT_EVALUATED</x:v>
      </x:c>
      <x:c r="I225" s="22" t="str"/>
    </x:row>
    <x:row r="226" ht="15" hidden="0" customHeight="1">
      <x:c r="A226" s="22" t="str">
        <x:v>55_VDC_Delay</x:v>
      </x:c>
      <x:c r="B226" s="22" t="str">
        <x:v>known_delay_total_s</x:v>
      </x:c>
      <x:c r="C226" s="22" t="n">
        <x:v>0</x:v>
      </x:c>
      <x:c r="D226" s="22" t="str">
        <x:v>s</x:v>
      </x:c>
      <x:c r="E226" s="22" t="str">
        <x:v>sum(known delays)</x:v>
      </x:c>
      <x:c r="F226" s="22" t="str"/>
      <x:c r="G226" s="22" t="str">
        <x:v>calculated</x:v>
      </x:c>
      <x:c r="H226" s="22" t="str">
        <x:v>PASS</x:v>
      </x:c>
      <x:c r="I226" s="22" t="str"/>
    </x:row>
    <x:row r="227" ht="26.399999618530273" hidden="0" customHeight="1">
      <x:c r="A227" s="22" t="str">
        <x:v>55_VDC_Delay</x:v>
      </x:c>
      <x:c r="B227" s="22" t="str">
        <x:v>known_delay_phase_deg</x:v>
      </x:c>
      <x:c r="C227" s="22" t="n">
        <x:v>0</x:v>
      </x:c>
      <x:c r="D227" s="22" t="str">
        <x:v>deg</x:v>
      </x:c>
      <x:c r="E227" s="22" t="str">
        <x:v>360*floop*Tdelay</x:v>
      </x:c>
      <x:c r="F227" s="22" t="str"/>
      <x:c r="G227" s="22" t="str">
        <x:v>calculated</x:v>
      </x:c>
      <x:c r="H227" s="22" t="str">
        <x:v>NOT_EVALUATED</x:v>
      </x:c>
      <x:c r="I227" s="22" t="str"/>
    </x:row>
    <x:row r="228" ht="39.599998474121094" hidden="0" customHeight="1">
      <x:c r="A228" s="22" t="str">
        <x:v>60_IAC_Error</x:v>
      </x:c>
      <x:c r="B228" s="22" t="str">
        <x:v>wc_percent_fs</x:v>
      </x:c>
      <x:c r="C228" s="22"/>
      <x:c r="D228" s="22" t="str">
        <x:v>%FS</x:v>
      </x:c>
      <x:c r="E228" s="22" t="str"/>
      <x:c r="F228" s="22" t="str"/>
      <x:c r="G228" s="22" t="str">
        <x:v>missing error sources</x:v>
      </x:c>
      <x:c r="H228" s="22" t="str">
        <x:v>NOT_EVALUATED</x:v>
      </x:c>
      <x:c r="I228" s="22" t="str"/>
    </x:row>
    <x:row r="229" ht="39.599998474121094" hidden="0" customHeight="1">
      <x:c r="A229" s="22" t="str">
        <x:v>60_IAC_Error</x:v>
      </x:c>
      <x:c r="B229" s="22" t="str">
        <x:v>rss_percent_fs</x:v>
      </x:c>
      <x:c r="C229" s="22"/>
      <x:c r="D229" s="22" t="str">
        <x:v>%FS</x:v>
      </x:c>
      <x:c r="E229" s="22" t="str"/>
      <x:c r="F229" s="22" t="str"/>
      <x:c r="G229" s="22" t="str">
        <x:v>missing error sources</x:v>
      </x:c>
      <x:c r="H229" s="22" t="str">
        <x:v>NOT_EVALUATED</x:v>
      </x:c>
      <x:c r="I229" s="22" t="str"/>
    </x:row>
    <x:row r="230" ht="39.599998474121094" hidden="0" customHeight="1">
      <x:c r="A230" s="22" t="str">
        <x:v>60_IDC_Error</x:v>
      </x:c>
      <x:c r="B230" s="22" t="str">
        <x:v>wc_percent_fs</x:v>
      </x:c>
      <x:c r="C230" s="22"/>
      <x:c r="D230" s="22" t="str">
        <x:v>%FS</x:v>
      </x:c>
      <x:c r="E230" s="22" t="str"/>
      <x:c r="F230" s="22" t="str"/>
      <x:c r="G230" s="22" t="str">
        <x:v>missing error sources</x:v>
      </x:c>
      <x:c r="H230" s="22" t="str">
        <x:v>NOT_EVALUATED</x:v>
      </x:c>
      <x:c r="I230" s="22" t="str"/>
    </x:row>
    <x:row r="231" ht="39.599998474121094" hidden="0" customHeight="1">
      <x:c r="A231" s="22" t="str">
        <x:v>60_IDC_Error</x:v>
      </x:c>
      <x:c r="B231" s="22" t="str">
        <x:v>rss_percent_fs</x:v>
      </x:c>
      <x:c r="C231" s="22"/>
      <x:c r="D231" s="22" t="str">
        <x:v>%FS</x:v>
      </x:c>
      <x:c r="E231" s="22" t="str"/>
      <x:c r="F231" s="22" t="str"/>
      <x:c r="G231" s="22" t="str">
        <x:v>missing error sources</x:v>
      </x:c>
      <x:c r="H231" s="22" t="str">
        <x:v>NOT_EVALUATED</x:v>
      </x:c>
      <x:c r="I231" s="22" t="str"/>
    </x:row>
    <x:row r="232" ht="39.599998474121094" hidden="0" customHeight="1">
      <x:c r="A232" s="22" t="str">
        <x:v>60_VAC_Error</x:v>
      </x:c>
      <x:c r="B232" s="22" t="str">
        <x:v>wc_percent_fs</x:v>
      </x:c>
      <x:c r="C232" s="22"/>
      <x:c r="D232" s="22" t="str">
        <x:v>%FS</x:v>
      </x:c>
      <x:c r="E232" s="22" t="str"/>
      <x:c r="F232" s="22" t="str"/>
      <x:c r="G232" s="22" t="str">
        <x:v>missing error sources</x:v>
      </x:c>
      <x:c r="H232" s="22" t="str">
        <x:v>NOT_EVALUATED</x:v>
      </x:c>
      <x:c r="I232" s="22" t="str"/>
    </x:row>
    <x:row r="233" ht="39.599998474121094" hidden="0" customHeight="1">
      <x:c r="A233" s="22" t="str">
        <x:v>60_VAC_Error</x:v>
      </x:c>
      <x:c r="B233" s="22" t="str">
        <x:v>rss_percent_fs</x:v>
      </x:c>
      <x:c r="C233" s="22"/>
      <x:c r="D233" s="22" t="str">
        <x:v>%FS</x:v>
      </x:c>
      <x:c r="E233" s="22" t="str"/>
      <x:c r="F233" s="22" t="str"/>
      <x:c r="G233" s="22" t="str">
        <x:v>missing error sources</x:v>
      </x:c>
      <x:c r="H233" s="22" t="str">
        <x:v>NOT_EVALUATED</x:v>
      </x:c>
      <x:c r="I233" s="22" t="str"/>
    </x:row>
    <x:row r="234" ht="39.599998474121094" hidden="0" customHeight="1">
      <x:c r="A234" s="22" t="str">
        <x:v>60_VDC_Error</x:v>
      </x:c>
      <x:c r="B234" s="22" t="str">
        <x:v>wc_percent_fs</x:v>
      </x:c>
      <x:c r="C234" s="22"/>
      <x:c r="D234" s="22" t="str">
        <x:v>%FS</x:v>
      </x:c>
      <x:c r="E234" s="22" t="str"/>
      <x:c r="F234" s="22" t="str"/>
      <x:c r="G234" s="22" t="str">
        <x:v>missing error sources</x:v>
      </x:c>
      <x:c r="H234" s="22" t="str">
        <x:v>NOT_EVALUATED</x:v>
      </x:c>
      <x:c r="I234" s="22" t="str"/>
    </x:row>
    <x:row r="235" ht="39.599998474121094" hidden="0" customHeight="1">
      <x:c r="A235" s="22" t="str">
        <x:v>60_VDC_Error</x:v>
      </x:c>
      <x:c r="B235" s="22" t="str">
        <x:v>rss_percent_fs</x:v>
      </x:c>
      <x:c r="C235" s="22"/>
      <x:c r="D235" s="22" t="str">
        <x:v>%FS</x:v>
      </x:c>
      <x:c r="E235" s="22" t="str"/>
      <x:c r="F235" s="22" t="str"/>
      <x:c r="G235" s="22" t="str">
        <x:v>missing error sources</x:v>
      </x:c>
      <x:c r="H235" s="22" t="str">
        <x:v>NOT_EVALUATED</x:v>
      </x:c>
      <x:c r="I235" s="22" t="str"/>
    </x:row>
  </x:sheetData>
  <x:pageMargins left="0.7" right="0.7" top="0.75" bottom="0.75" header="0.3" footer="0.3"/>
  <x:tableParts count="1">
    <x:tablePart xmlns:r="http://schemas.openxmlformats.org/officeDocument/2006/relationships" r:id="R507f0cab0d4a490c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54" hidden="0" customWidth="1"/>
    <x:col min="5" max="5" width="54" hidden="0" customWidth="1"/>
  </x:cols>
  <x:sheetData>
    <x:row r="1" ht="15" hidden="0" customHeight="1">
      <x:c r="A1" s="12" t="str">
        <x:v>Scope</x:v>
      </x:c>
      <x:c r="B1" s="12" t="str">
        <x:v>Code</x:v>
      </x:c>
      <x:c r="C1" s="12" t="str">
        <x:v>Status</x:v>
      </x:c>
      <x:c r="D1" s="12" t="str">
        <x:v>Message</x:v>
      </x:c>
      <x:c r="E1" s="12" t="str">
        <x:v>Recommendation</x:v>
      </x:c>
    </x:row>
    <x:row r="2" ht="26.399999618530273" hidden="0" customHeight="1">
      <x:c r="A2" s="22" t="str">
        <x:v>02_GBT_Compliance</x:v>
      </x:c>
      <x:c r="B2" s="22" t="str">
        <x:v>GBT_NOMINAL_VOLTAGE</x:v>
      </x:c>
      <x:c r="C2" s="22" t="str">
        <x:v>WARNING</x:v>
      </x:c>
      <x:c r="D2" s="22" t="str">
        <x:v>Product nominal voltage 230.0 V differs from the GB/T test nominal 220.0 V.</x:v>
      </x:c>
      <x:c r="E2" s="22" t="str">
        <x:v>Keep the hardware rating, but use the separate GB/T nominal voltage for compliance testing.</x:v>
      </x:c>
    </x:row>
    <x:row r="3" ht="26.399999618530273" hidden="0" customHeight="1">
      <x:c r="A3" s="22" t="str">
        <x:v>02_GBT_Compliance</x:v>
      </x:c>
      <x:c r="B3" s="22" t="str">
        <x:v>GBT_EFFICIENCY_EVIDENCE</x:v>
      </x:c>
      <x:c r="C3" s="22" t="str">
        <x:v>WARNING</x:v>
      </x:c>
      <x:c r="D3" s="22" t="str">
        <x:v>The configured minimum efficiency is not proof of the GB/T ten-point average-efficiency result.</x:v>
      </x:c>
      <x:c r="E3" s="22" t="str">
        <x:v>Validate after 30 min warm-up at ten evenly spaced output-voltage points.</x:v>
      </x:c>
    </x:row>
    <x:row r="4" ht="26.399999618530273" hidden="0" customHeight="1">
      <x:c r="A4" s="22" t="str">
        <x:v>08_GBT_Safety_EMC</x:v>
      </x:c>
      <x:c r="B4" s="22" t="str">
        <x:v>GBT_ISOLATION_NOT_CHECKED</x:v>
      </x:c>
      <x:c r="C4" s="22" t="str">
        <x:v>NOT_EVALUATED</x:v>
      </x:c>
      <x:c r="D4" s="22" t="str">
        <x:v>No actual isolation withstand rating is configured, so dielectric compliance cannot be verified.</x:v>
      </x:c>
      <x:c r="E4" s="22" t="str">
        <x:v>Enter standard_profile.safety.actual_isolation_withstand_rms_v after selecting the isolation architecture.</x:v>
      </x:c>
    </x:row>
    <x:row r="5" ht="26.399999618530273" hidden="0" customHeight="1">
      <x:c r="A5" s="22" t="str">
        <x:v>08_GBT_Safety_EMC</x:v>
      </x:c>
      <x:c r="B5" s="22" t="str">
        <x:v>GBT_EMC_COMPONENT_CHECK</x:v>
      </x:c>
      <x:c r="C5" s="22" t="str">
        <x:v>NOT_EVALUATED</x:v>
      </x:c>
      <x:c r="D5" s="22" t="str">
        <x:v>The standard EMC values are system-level tests; current component pulse/CMTI/ESD ratings are not available in the calculation profile.</x:v>
      </x:c>
      <x:c r="E5" s="22" t="str">
        <x:v>Use these requirements in the future MCP component-selection layer and verify at system level.</x:v>
      </x:c>
    </x:row>
    <x:row r="6" ht="39.599998474121094" hidden="0" customHeight="1">
      <x:c r="A6" s="22" t="str">
        <x:v>09_GBT_Inverter</x:v>
      </x:c>
      <x:c r="B6" s="22" t="str">
        <x:v>GBT_INVERTER_EVIDENCE</x:v>
      </x:c>
      <x:c r="C6" s="22" t="str">
        <x:v>NOT_EVALUATED</x:v>
      </x:c>
      <x:c r="D6" s="22" t="str">
        <x:v>The calculator now exposes reverse-power compliance requirements but does not simulate THD, dynamic recovery or grid-current DC injection.</x:v>
      </x:c>
      <x:c r="E6" s="22" t="str">
        <x:v>Use the requirements as controller/sensing budgets and verify with the Appendix A test procedures.</x:v>
      </x:c>
    </x:row>
    <x:row r="7" ht="26.399999618530273" hidden="0" customHeight="1">
      <x:c r="A7" s="22" t="str">
        <x:v>20_IAC_Hall</x:v>
      </x:c>
      <x:c r="B7" s="22" t="str">
        <x:v>IAC_UTIL</x:v>
      </x:c>
      <x:c r="C7" s="22" t="str">
        <x:v>WARNING</x:v>
      </x:c>
      <x:c r="D7" s="22" t="str">
        <x:v>Only 26.8% of ADC full scale is used at the PMP23607 design current.</x:v>
      </x:c>
      <x:c r="E7" s="22" t="str">
        <x:v>This is acceptable for overload headroom but degrades light-load effective resolution; verify zero-offset and noise performance.</x:v>
      </x:c>
    </x:row>
    <x:row r="8" ht="26.399999618530273" hidden="0" customHeight="1">
      <x:c r="A8" s="22" t="str">
        <x:v>40_VAC</x:v>
      </x:c>
      <x:c r="B8" s="22" t="str">
        <x:v>VAC_LINEAR_RANGE</x:v>
      </x:c>
      <x:c r="C8" s="22" t="str">
        <x:v>FAIL</x:v>
      </x:c>
      <x:c r="D8" s="22" t="str">
        <x:v>VAC divider drives the isolation input to 1.432 V, beyond the ±1.000 V linear range.</x:v>
      </x:c>
      <x:c r="E8" s="22" t="str">
        <x:v>Increase high-side resistance/reduce divider ratio. Hardware redesign is required; software calibration cannot restore clipped data.</x:v>
      </x:c>
    </x:row>
    <x:row r="9" ht="15" hidden="0" customHeight="1">
      <x:c r="A9" s="22" t="str">
        <x:v>40_VAC</x:v>
      </x:c>
      <x:c r="B9" s="22" t="str">
        <x:v>VAC_ADC_RANGE</x:v>
      </x:c>
      <x:c r="C9" s="22" t="str">
        <x:v>FAIL</x:v>
      </x:c>
      <x:c r="D9" s="22" t="str">
        <x:v>VAC isolation output exceeds ADC range.</x:v>
      </x:c>
      <x:c r="E9" s="22" t="str">
        <x:v>Adjust divider ratio, reference voltage or output gain.</x:v>
      </x:c>
    </x:row>
    <x:row r="10" ht="26.399999618530273" hidden="0" customHeight="1">
      <x:c r="A10" s="22" t="str">
        <x:v>21_IAC_Filter</x:v>
      </x:c>
      <x:c r="B10" s="22" t="str">
        <x:v>AFE_SWITCH_RIPPLE</x:v>
      </x:c>
      <x:c r="C10" s="22" t="str">
        <x:v>WARNING</x:v>
      </x:c>
      <x:c r="D10" s="22" t="str">
        <x:v>Single-pole attenuation at switching frequency is only -2.8 dB.</x:v>
      </x:c>
      <x:c r="E10" s="22" t="str">
        <x:v>Use PWM-synchronous sampling and/or a higher-order/digital filter; do not reduce bandwidth blindly.</x:v>
      </x:c>
    </x:row>
    <x:row r="11" ht="26.399999618530273" hidden="0" customHeight="1">
      <x:c r="A11" s="22" t="str">
        <x:v>42_VAC_Filter</x:v>
      </x:c>
      <x:c r="B11" s="22" t="str">
        <x:v>AFE_SWITCH_RIPPLE</x:v>
      </x:c>
      <x:c r="C11" s="22" t="str">
        <x:v>WARNING</x:v>
      </x:c>
      <x:c r="D11" s="22" t="str">
        <x:v>Single-pole attenuation at switching frequency is only -3.2 dB.</x:v>
      </x:c>
      <x:c r="E11" s="22" t="str">
        <x:v>Use PWM-synchronous sampling and/or a higher-order/digital filter; do not reduce bandwidth blindly.</x:v>
      </x:c>
    </x:row>
    <x:row r="12" ht="26.399999618530273" hidden="0" customHeight="1">
      <x:c r="A12" s="22" t="str">
        <x:v>30_IDC_Shunt</x:v>
      </x:c>
      <x:c r="B12" s="22" t="str">
        <x:v>IDC_OFFSET_UNKNOWN</x:v>
      </x:c>
      <x:c r="C12" s="22" t="str">
        <x:v>NOT_EVALUATED</x:v>
      </x:c>
      <x:c r="D12" s="22" t="str">
        <x:v>IDC amplifier input offset is not configured.</x:v>
      </x:c>
      <x:c r="E12" s="22" t="str">
        <x:v>Enter the exact device maximum offset before design release.</x:v>
      </x:c>
    </x:row>
    <x:row r="13" ht="26.399999618530273" hidden="0" customHeight="1">
      <x:c r="A13" s="22" t="str">
        <x:v>30_IDC_Shunt</x:v>
      </x:c>
      <x:c r="B13" s="22" t="str">
        <x:v>IDC_UTIL</x:v>
      </x:c>
      <x:c r="C13" s="22" t="str">
        <x:v>WARNING</x:v>
      </x:c>
      <x:c r="D13" s="22" t="str">
        <x:v>IDC uses only 16.1% of ADC full scale at calculated rated power.</x:v>
      </x:c>
      <x:c r="E13" s="22" t="str">
        <x:v>Confirm whether the channel is intentionally sized for a higher DCDC current or fault range.</x:v>
      </x:c>
    </x:row>
    <x:row r="14" ht="15" hidden="0" customHeight="1">
      <x:c r="A14" s="22" t="str">
        <x:v>31_IDC_Filter</x:v>
      </x:c>
      <x:c r="B14" s="22" t="str">
        <x:v>AFE_PHASE</x:v>
      </x:c>
      <x:c r="C14" s="22" t="str">
        <x:v>FAIL</x:v>
      </x:c>
      <x:c r="D14" s="22" t="str">
        <x:v>Analog phase loss 16.42° exceeds 15.00°.</x:v>
      </x:c>
      <x:c r="E14" s="22" t="str">
        <x:v>Increase analog bandwidth or lower loop crossover frequency.</x:v>
      </x:c>
    </x:row>
    <x:row r="15" ht="26.399999618530273" hidden="0" customHeight="1">
      <x:c r="A15" s="22" t="str">
        <x:v>50_ADC_Timing</x:v>
      </x:c>
      <x:c r="B15" s="22" t="str">
        <x:v>ADC_EXACT_MISSING</x:v>
      </x:c>
      <x:c r="C15" s="22" t="str">
        <x:v>NOT_EVALUATED</x:v>
      </x:c>
      <x:c r="D15" s="22" t="str">
        <x:v>Exact ADC acquisition model is not evaluated because MCU internal parameters are not provided.</x:v>
      </x:c>
      <x:c r="E15" s="22" t="str">
        <x:v>Populate exact_sample_capacitance_f, exact_switch_resistance_ohm and exact_source_resistance_ohm.</x:v>
      </x:c>
    </x:row>
    <x:row r="16" ht="26.399999618530273" hidden="0" customHeight="1">
      <x:c r="A16" s="22" t="str">
        <x:v>55_IAC_Delay</x:v>
      </x:c>
      <x:c r="B16" s="22" t="str">
        <x:v>IAC_DELAY_MISSING</x:v>
      </x:c>
      <x:c r="C16" s="22" t="str">
        <x:v>NOT_EVALUATED</x:v>
      </x:c>
      <x:c r="D16" s="22" t="str">
        <x:v>Delay budget is incomplete; missing: adc, isr, pwm.</x:v>
      </x:c>
      <x:c r="E16" s="22" t="str">
        <x:v>Enter worst-case propagation/compute/PWM update delays before closing loop stability analysis.</x:v>
      </x:c>
    </x:row>
    <x:row r="17" ht="26.399999618530273" hidden="0" customHeight="1">
      <x:c r="A17" s="22" t="str">
        <x:v>55_IDC_Delay</x:v>
      </x:c>
      <x:c r="B17" s="22" t="str">
        <x:v>IDC_DELAY_MISSING</x:v>
      </x:c>
      <x:c r="C17" s="22" t="str">
        <x:v>NOT_EVALUATED</x:v>
      </x:c>
      <x:c r="D17" s="22" t="str">
        <x:v>Delay budget is incomplete; missing: isolation, adc, isr, pwm.</x:v>
      </x:c>
      <x:c r="E17" s="22" t="str">
        <x:v>Enter worst-case propagation/compute/PWM update delays before closing loop stability analysis.</x:v>
      </x:c>
    </x:row>
    <x:row r="18" ht="26.399999618530273" hidden="0" customHeight="1">
      <x:c r="A18" s="22" t="str">
        <x:v>55_VAC_Delay</x:v>
      </x:c>
      <x:c r="B18" s="22" t="str">
        <x:v>VAC_DELAY_MISSING</x:v>
      </x:c>
      <x:c r="C18" s="22" t="str">
        <x:v>NOT_EVALUATED</x:v>
      </x:c>
      <x:c r="D18" s="22" t="str">
        <x:v>Delay budget is incomplete; missing: adc, isr, pwm.</x:v>
      </x:c>
      <x:c r="E18" s="22" t="str">
        <x:v>Enter worst-case propagation/compute/PWM update delays before closing loop stability analysis.</x:v>
      </x:c>
    </x:row>
    <x:row r="19" ht="26.399999618530273" hidden="0" customHeight="1">
      <x:c r="A19" s="22" t="str">
        <x:v>55_VDC_Delay</x:v>
      </x:c>
      <x:c r="B19" s="22" t="str">
        <x:v>VDC_DELAY_MISSING</x:v>
      </x:c>
      <x:c r="C19" s="22" t="str">
        <x:v>NOT_EVALUATED</x:v>
      </x:c>
      <x:c r="D19" s="22" t="str">
        <x:v>Delay budget is incomplete; missing: sensor, isolation, adc, isr, pwm.</x:v>
      </x:c>
      <x:c r="E19" s="22" t="str">
        <x:v>Enter worst-case propagation/compute/PWM update delays before closing loop stability analysis.</x:v>
      </x:c>
    </x:row>
    <x:row r="20" ht="26.399999618530273" hidden="0" customHeight="1">
      <x:c r="A20" s="22" t="str">
        <x:v>60_IAC_Error</x:v>
      </x:c>
      <x:c r="B20" s="22" t="str">
        <x:v>IAC_ERROR_MISSING</x:v>
      </x:c>
      <x:c r="C20" s="22" t="str">
        <x:v>NOT_EVALUATED</x:v>
      </x:c>
      <x:c r="D20" s="22" t="str">
        <x:v>No channel error-source data are configured.</x:v>
      </x:c>
      <x:c r="E20" s="22" t="str">
        <x:v>Enter exact device maximum gain/offset/drift/ADC/VREF errors before design release.</x:v>
      </x:c>
    </x:row>
    <x:row r="21" ht="26.399999618530273" hidden="0" customHeight="1">
      <x:c r="A21" s="22" t="str">
        <x:v>60_IDC_Error</x:v>
      </x:c>
      <x:c r="B21" s="22" t="str">
        <x:v>IDC_ERROR_MISSING</x:v>
      </x:c>
      <x:c r="C21" s="22" t="str">
        <x:v>NOT_EVALUATED</x:v>
      </x:c>
      <x:c r="D21" s="22" t="str">
        <x:v>No channel error-source data are configured.</x:v>
      </x:c>
      <x:c r="E21" s="22" t="str">
        <x:v>Enter exact device maximum gain/offset/drift/ADC/VREF errors before design release.</x:v>
      </x:c>
    </x:row>
    <x:row r="22" ht="26.399999618530273" hidden="0" customHeight="1">
      <x:c r="A22" s="22" t="str">
        <x:v>60_VAC_Error</x:v>
      </x:c>
      <x:c r="B22" s="22" t="str">
        <x:v>VAC_ERROR_MISSING</x:v>
      </x:c>
      <x:c r="C22" s="22" t="str">
        <x:v>NOT_EVALUATED</x:v>
      </x:c>
      <x:c r="D22" s="22" t="str">
        <x:v>No channel error-source data are configured.</x:v>
      </x:c>
      <x:c r="E22" s="22" t="str">
        <x:v>Enter exact device maximum gain/offset/drift/ADC/VREF errors before design release.</x:v>
      </x:c>
    </x:row>
    <x:row r="23" ht="26.399999618530273" hidden="0" customHeight="1">
      <x:c r="A23" s="22" t="str">
        <x:v>60_VDC_Error</x:v>
      </x:c>
      <x:c r="B23" s="22" t="str">
        <x:v>VDC_ERROR_MISSING</x:v>
      </x:c>
      <x:c r="C23" s="22" t="str">
        <x:v>NOT_EVALUATED</x:v>
      </x:c>
      <x:c r="D23" s="22" t="str">
        <x:v>No channel error-source data are configured.</x:v>
      </x:c>
      <x:c r="E23" s="22" t="str">
        <x:v>Enter exact device maximum gain/offset/drift/ADC/VREF errors before design release.</x:v>
      </x:c>
    </x:row>
  </x:sheetData>
  <x:conditionalFormatting sqref="C2:C23">
    <x:cfRule type="expression" dxfId="104" priority="1">
      <x:formula>C2="PASS"</x:formula>
    </x:cfRule>
    <x:cfRule type="expression" dxfId="105" priority="2">
      <x:formula>C2="WARNING"</x:formula>
    </x:cfRule>
    <x:cfRule type="expression" dxfId="106" priority="3">
      <x:formula>C2="FAIL"</x:formula>
    </x:cfRule>
    <x:cfRule type="expression" dxfId="107" priority="4">
      <x:formula>C2="NOT_EVALUATED"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5c196c992649b4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15" hidden="0" customHeight="1">
      <x:c r="A1" s="12" t="str">
        <x:v>Parameter/Topic</x:v>
      </x:c>
      <x:c r="B1" s="12" t="str">
        <x:v>Value/Assumption</x:v>
      </x:c>
      <x:c r="C1" s="12" t="str">
        <x:v>Source Type</x:v>
      </x:c>
      <x:c r="D1" s="12" t="str">
        <x:v>Qualification/Action</x:v>
      </x:c>
    </x:row>
    <x:row r="2" ht="26.399999618530273" hidden="0" customHeight="1">
      <x:c r="A2" s="22" t="str">
        <x:v>System power</x:v>
      </x:c>
      <x:c r="B2" s="22" t="str">
        <x:v>2.5 kW</x:v>
      </x:c>
      <x:c r="C2" s="22" t="str">
        <x:v>project context</x:v>
      </x:c>
      <x:c r="D2" s="22" t="str">
        <x:v>Confirm continuous and overload power for the actual test article.</x:v>
      </x:c>
    </x:row>
    <x:row r="3" ht="15" hidden="0" customHeight="1">
      <x:c r="A3" s="22" t="str">
        <x:v>AC input range</x:v>
      </x:c>
      <x:c r="B3" s="22" t="str">
        <x:v>180–265 Vrms</x:v>
      </x:c>
      <x:c r="C3" s="22" t="str">
        <x:v>PMP23607 Rev. E2 schematic</x:v>
      </x:c>
      <x:c r="D3" s="22" t="str">
        <x:v>Observed hardware range.</x:v>
      </x:c>
    </x:row>
    <x:row r="4" ht="26.399999618530273" hidden="0" customHeight="1">
      <x:c r="A4" s="22" t="str">
        <x:v>DC operating range</x:v>
      </x:c>
      <x:c r="B4" s="22" t="str">
        <x:v>370–420 V</x:v>
      </x:c>
      <x:c r="C4" s="22" t="str">
        <x:v>legacy software macros</x:v>
      </x:c>
      <x:c r="D4" s="22" t="str">
        <x:v>Provisional; confirm PMP23607 battery/output specification.</x:v>
      </x:c>
    </x:row>
    <x:row r="5" ht="26.399999618530273" hidden="0" customHeight="1">
      <x:c r="A5" s="22" t="str">
        <x:v>Control bandwidths</x:v>
      </x:c>
      <x:c r="B5" s="22" t="str">
        <x:v>IAC 3 kHz; IDC 2 kHz; VDC 20 Hz; PLL 30 Hz</x:v>
      </x:c>
      <x:c r="C5" s="22" t="str">
        <x:v>engineering default</x:v>
      </x:c>
      <x:c r="D5" s="22" t="str">
        <x:v>Provisional; replace with measured plant/controller targets.</x:v>
      </x:c>
    </x:row>
    <x:row r="6" ht="26.399999618530273" hidden="0" customHeight="1">
      <x:c r="A6" s="22" t="str">
        <x:v>Phase budgets</x:v>
      </x:c>
      <x:c r="B6" s="22" t="str">
        <x:v>IAC/IDC 15 deg; VDC/VAC PLL 5 deg; line VAC 0.5 deg</x:v>
      </x:c>
      <x:c r="C6" s="22" t="str">
        <x:v>engineering default</x:v>
      </x:c>
      <x:c r="D6" s="22" t="str">
        <x:v>User-confirmed MVP defaults.</x:v>
      </x:c>
    </x:row>
    <x:row r="7" ht="39.599998474121094" hidden="0" customHeight="1">
      <x:c r="A7" s="22" t="str">
        <x:v>F29H85x internal ADC model</x:v>
      </x:c>
      <x:c r="B7" s="22" t="str">
        <x:v>Not populated</x:v>
      </x:c>
      <x:c r="C7" s="22" t="str">
        <x:v>missing authoritative parameter</x:v>
      </x:c>
      <x:c r="D7" s="22" t="str">
        <x:v>Exact acquisition model remains NOT_EVALUATED until data-sheet/model values are entered.</x:v>
      </x:c>
    </x:row>
    <x:row r="8" ht="26.399999618530273" hidden="0" customHeight="1">
      <x:c r="A8" s="22" t="str">
        <x:v>Component error budgets</x:v>
      </x:c>
      <x:c r="B8" s="22" t="str">
        <x:v>Empty by default</x:v>
      </x:c>
      <x:c r="C8" s="22" t="str">
        <x:v>fail-closed design rule</x:v>
      </x:c>
      <x:c r="D8" s="22" t="str">
        <x:v>Enter exact maximum errors and drift before design release.</x:v>
      </x:c>
    </x:row>
    <x:row r="9" ht="39.599998474121094" hidden="0" customHeight="1">
      <x:c r="A9" s="22" t="str">
        <x:v>Compliance layer</x:v>
      </x:c>
      <x:c r="B9" s="22" t="str">
        <x:v>GB/T 40432-2021</x:v>
      </x:c>
      <x:c r="C9" s="22" t="str">
        <x:v>national-standard profile</x:v>
      </x:c>
      <x:c r="D9" s="22" t="str">
        <x:v>Whole-product limits are kept separate from sensing-chain design targets; compliance still requires physical testing.</x:v>
      </x:c>
    </x:row>
  </x:sheetData>
  <x:pageMargins left="0.7" right="0.7" top="0.75" bottom="0.75" header="0.3" footer="0.3"/>
  <x:tableParts count="1">
    <x:tablePart xmlns:r="http://schemas.openxmlformats.org/officeDocument/2006/relationships" r:id="R685447fe9ee74435"/>
  </x:tableParts>
</x:worksheet>
</file>