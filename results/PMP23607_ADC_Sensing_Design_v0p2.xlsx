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4fe07a662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53ed2809e0764a8a"/>
    <x:sheet xmlns:r="http://schemas.openxmlformats.org/officeDocument/2006/relationships" name="01_Input_Config" sheetId="2" r:id="R4ddd1b957b1b4735"/>
    <x:sheet xmlns:r="http://schemas.openxmlformats.org/officeDocument/2006/relationships" name="10_System_Rating" sheetId="3" r:id="Rcec7ac6fb3644e94"/>
    <x:sheet xmlns:r="http://schemas.openxmlformats.org/officeDocument/2006/relationships" name="15_Phase_Channels" sheetId="4" r:id="Ra5965b4cb3544770"/>
    <x:sheet xmlns:r="http://schemas.openxmlformats.org/officeDocument/2006/relationships" name="20_IAC_Hall" sheetId="5" r:id="Rc2c3309c1f114a6b"/>
    <x:sheet xmlns:r="http://schemas.openxmlformats.org/officeDocument/2006/relationships" name="40_VAC" sheetId="6" r:id="Rdd1191c27b6842b3"/>
    <x:sheet xmlns:r="http://schemas.openxmlformats.org/officeDocument/2006/relationships" name="21_IAC_Filter" sheetId="7" r:id="Rb0ccb157c0be4d69"/>
    <x:sheet xmlns:r="http://schemas.openxmlformats.org/officeDocument/2006/relationships" name="42_VAC_Filter" sheetId="8" r:id="R26d6c872863c43cd"/>
    <x:sheet xmlns:r="http://schemas.openxmlformats.org/officeDocument/2006/relationships" name="30_IDC_Shunt" sheetId="9" r:id="R36c5633f62594473"/>
    <x:sheet xmlns:r="http://schemas.openxmlformats.org/officeDocument/2006/relationships" name="41_VDC" sheetId="10" r:id="Rf6f06e60339c45f1"/>
    <x:sheet xmlns:r="http://schemas.openxmlformats.org/officeDocument/2006/relationships" name="31_IDC_Filter" sheetId="11" r:id="Rf13ddf2088684c79"/>
    <x:sheet xmlns:r="http://schemas.openxmlformats.org/officeDocument/2006/relationships" name="43_VDC_Filter" sheetId="12" r:id="R4c2b125f52aa4d47"/>
    <x:sheet xmlns:r="http://schemas.openxmlformats.org/officeDocument/2006/relationships" name="50_ADC_Timing" sheetId="13" r:id="R07d4fa0c76834f2d"/>
    <x:sheet xmlns:r="http://schemas.openxmlformats.org/officeDocument/2006/relationships" name="55_IAC_Delay" sheetId="14" r:id="Rafd62fb1dc62445d"/>
    <x:sheet xmlns:r="http://schemas.openxmlformats.org/officeDocument/2006/relationships" name="55_IDC_Delay" sheetId="15" r:id="R3925e775d1c44e60"/>
    <x:sheet xmlns:r="http://schemas.openxmlformats.org/officeDocument/2006/relationships" name="55_VAC_Delay" sheetId="16" r:id="Re484699e3df848cd"/>
    <x:sheet xmlns:r="http://schemas.openxmlformats.org/officeDocument/2006/relationships" name="55_VDC_Delay" sheetId="17" r:id="R699d7f4e2b254a61"/>
    <x:sheet xmlns:r="http://schemas.openxmlformats.org/officeDocument/2006/relationships" name="60_IAC_Error" sheetId="18" r:id="R5ed211c18d05434a"/>
    <x:sheet xmlns:r="http://schemas.openxmlformats.org/officeDocument/2006/relationships" name="60_IDC_Error" sheetId="19" r:id="Rbe43901a63814b25"/>
    <x:sheet xmlns:r="http://schemas.openxmlformats.org/officeDocument/2006/relationships" name="60_VAC_Error" sheetId="20" r:id="R6eb587961e1a4fbc"/>
    <x:sheet xmlns:r="http://schemas.openxmlformats.org/officeDocument/2006/relationships" name="60_VDC_Error" sheetId="21" r:id="R62e1d43a546e467b"/>
    <x:sheet xmlns:r="http://schemas.openxmlformats.org/officeDocument/2006/relationships" name="90_Formula_Trace" sheetId="22" r:id="R757c2c06d3a74993"/>
    <x:sheet xmlns:r="http://schemas.openxmlformats.org/officeDocument/2006/relationships" name="80_Warnings" sheetId="23" r:id="Re6d64ab95eaf4ab0"/>
    <x:sheet xmlns:r="http://schemas.openxmlformats.org/officeDocument/2006/relationships" name="70_Assumptions" sheetId="24" r:id="R5ca9bfd75ab9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4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486ace5b1482e" /><Relationship Type="http://schemas.openxmlformats.org/officeDocument/2006/relationships/theme" Target="/xl/theme/theme1.xml" Id="Rc5fcb99bdb38417f" /><Relationship Type="http://schemas.microsoft.com/office/2022/11/relationships/FeaturePropertyBag" Target="/xl/featurePropertyBag/featurePropertyBag.xml" Id="R309e0cdf5dee48cf" /><Relationship Type="http://schemas.openxmlformats.org/officeDocument/2006/relationships/sharedStrings" Target="/xl/sharedStrings.xml" Id="R006cacb3640f4ae3" /><Relationship Type="http://schemas.openxmlformats.org/officeDocument/2006/relationships/worksheet" Target="/xl/worksheets/sheet1.xml" Id="R53ed2809e0764a8a" /><Relationship Type="http://schemas.openxmlformats.org/officeDocument/2006/relationships/worksheet" Target="/xl/worksheets/sheet2.xml" Id="R4ddd1b957b1b4735" /><Relationship Type="http://schemas.openxmlformats.org/officeDocument/2006/relationships/worksheet" Target="/xl/worksheets/sheet3.xml" Id="Rcec7ac6fb3644e94" /><Relationship Type="http://schemas.openxmlformats.org/officeDocument/2006/relationships/worksheet" Target="/xl/worksheets/sheet4.xml" Id="Ra5965b4cb3544770" /><Relationship Type="http://schemas.openxmlformats.org/officeDocument/2006/relationships/worksheet" Target="/xl/worksheets/sheet5.xml" Id="Rc2c3309c1f114a6b" /><Relationship Type="http://schemas.openxmlformats.org/officeDocument/2006/relationships/worksheet" Target="/xl/worksheets/sheet6.xml" Id="Rdd1191c27b6842b3" /><Relationship Type="http://schemas.openxmlformats.org/officeDocument/2006/relationships/worksheet" Target="/xl/worksheets/sheet7.xml" Id="Rb0ccb157c0be4d69" /><Relationship Type="http://schemas.openxmlformats.org/officeDocument/2006/relationships/worksheet" Target="/xl/worksheets/sheet8.xml" Id="R26d6c872863c43cd" /><Relationship Type="http://schemas.openxmlformats.org/officeDocument/2006/relationships/worksheet" Target="/xl/worksheets/sheet9.xml" Id="R36c5633f62594473" /><Relationship Type="http://schemas.openxmlformats.org/officeDocument/2006/relationships/worksheet" Target="/xl/worksheets/sheet10.xml" Id="Rf6f06e60339c45f1" /><Relationship Type="http://schemas.openxmlformats.org/officeDocument/2006/relationships/worksheet" Target="/xl/worksheets/sheet11.xml" Id="Rf13ddf2088684c79" /><Relationship Type="http://schemas.openxmlformats.org/officeDocument/2006/relationships/worksheet" Target="/xl/worksheets/sheet12.xml" Id="R4c2b125f52aa4d47" /><Relationship Type="http://schemas.openxmlformats.org/officeDocument/2006/relationships/worksheet" Target="/xl/worksheets/sheet13.xml" Id="R07d4fa0c76834f2d" /><Relationship Type="http://schemas.openxmlformats.org/officeDocument/2006/relationships/worksheet" Target="/xl/worksheets/sheet14.xml" Id="Rafd62fb1dc62445d" /><Relationship Type="http://schemas.openxmlformats.org/officeDocument/2006/relationships/worksheet" Target="/xl/worksheets/sheet15.xml" Id="R3925e775d1c44e60" /><Relationship Type="http://schemas.openxmlformats.org/officeDocument/2006/relationships/worksheet" Target="/xl/worksheets/sheet16.xml" Id="Re484699e3df848cd" /><Relationship Type="http://schemas.openxmlformats.org/officeDocument/2006/relationships/worksheet" Target="/xl/worksheets/sheet17.xml" Id="R699d7f4e2b254a61" /><Relationship Type="http://schemas.openxmlformats.org/officeDocument/2006/relationships/worksheet" Target="/xl/worksheets/sheet18.xml" Id="R5ed211c18d05434a" /><Relationship Type="http://schemas.openxmlformats.org/officeDocument/2006/relationships/worksheet" Target="/xl/worksheets/sheet19.xml" Id="Rbe43901a63814b25" /><Relationship Type="http://schemas.openxmlformats.org/officeDocument/2006/relationships/worksheet" Target="/xl/worksheets/sheet20.xml" Id="R6eb587961e1a4fbc" /><Relationship Type="http://schemas.openxmlformats.org/officeDocument/2006/relationships/worksheet" Target="/xl/worksheets/sheet21.xml" Id="R62e1d43a546e467b" /><Relationship Type="http://schemas.openxmlformats.org/officeDocument/2006/relationships/worksheet" Target="/xl/worksheets/sheet22.xml" Id="R757c2c06d3a74993" /><Relationship Type="http://schemas.openxmlformats.org/officeDocument/2006/relationships/worksheet" Target="/xl/worksheets/sheet23.xml" Id="Re6d64ab95eaf4ab0" /><Relationship Type="http://schemas.openxmlformats.org/officeDocument/2006/relationships/worksheet" Target="/xl/worksheets/sheet24.xml" Id="R5ca9bfd75ab94c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3:H22" headerRowCount="1">
  <x:tableColumns count="8">
    <x:tableColumn id="1" name="Section"/>
    <x:tableColumn id="2" name="Status"/>
    <x:tableColumn id="3" name="Metric Count"/>
    <x:tableColumn id="4" name="FAIL"/>
    <x:tableColumn id="5" name="WARNING"/>
    <x:tableColumn id="6" name="NOT EVALUATED"/>
    <x:tableColumn id="7" name="Purpose"/>
    <x:tableColumn id="8" name="Engineering Note"/>
  </x:tableColumns>
  <x:tableStyleInfo name="TableStyleMedium2" showRowStripes="1"/>
</x:table>
</file>

<file path=xl/tables/table2.xml><?xml version="1.0" encoding="utf-8"?>
<x:table xmlns:x="http://schemas.openxmlformats.org/spreadsheetml/2006/main" id="2" name="InputConfigTable" displayName="InputConfigTable" ref="A1:D112" headerRowCount="1">
  <x:tableColumns count="4">
    <x:tableColumn id="1" name="Path"/>
    <x:tableColumn id="2" name="Value"/>
    <x:tableColumn id="3" name="Type"/>
    <x:tableColumn id="4" name="Source/Qual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MetricsTable1" displayName="MetricsTable1" ref="A1:I9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MetricsTable2" displayName="MetricsTable2" ref="A1:I2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MetricsTable3" displayName="MetricsTable3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MetricsTable4" displayName="MetricsTable4" ref="A1:I9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MetricsTable5" displayName="MetricsTable5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MetricsTable6" displayName="MetricsTable6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MetricsTable7" displayName="MetricsTable7" ref="A1:I14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MetricsTable8" displayName="MetricsTable8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MetricsTable9" displayName="MetricsTable9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MetricsTable10" displayName="MetricsTable10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MetricsTable11" displayName="MetricsTable11" ref="A1:I9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MetricsTable12" displayName="MetricsTable12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MetricsTable13" displayName="MetricsTable13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MetricsTable14" displayName="MetricsTable14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7.xml><?xml version="1.0" encoding="utf-8"?>
<x:table xmlns:x="http://schemas.openxmlformats.org/spreadsheetml/2006/main" id="17" name="MetricsTable15" displayName="MetricsTable15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MetricsTable16" displayName="MetricsTable16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9.xml><?xml version="1.0" encoding="utf-8"?>
<x:table xmlns:x="http://schemas.openxmlformats.org/spreadsheetml/2006/main" id="19" name="MetricsTable17" displayName="MetricsTable17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MetricsTable18" displayName="MetricsTable18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1.xml><?xml version="1.0" encoding="utf-8"?>
<x:table xmlns:x="http://schemas.openxmlformats.org/spreadsheetml/2006/main" id="21" name="MetricsTable19" displayName="MetricsTable19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2.xml><?xml version="1.0" encoding="utf-8"?>
<x:table xmlns:x="http://schemas.openxmlformats.org/spreadsheetml/2006/main" id="22" name="FormulaTraceTable" displayName="FormulaTraceTable" ref="A1:I118" headerRowCount="1">
  <x:tableColumns count="9">
    <x:tableColumn id="1" name="Section"/>
    <x:tableColumn id="2" name="Key"/>
    <x:tableColumn id="3" name="Result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3.xml><?xml version="1.0" encoding="utf-8"?>
<x:table xmlns:x="http://schemas.openxmlformats.org/spreadsheetml/2006/main" id="23" name="WarningsTable" displayName="WarningsTable" ref="A1:E18" headerRowCount="1">
  <x:tableColumns count="5">
    <x:tableColumn id="1" name="Scope"/>
    <x:tableColumn id="2" name="Code"/>
    <x:tableColumn id="3" name="Status"/>
    <x:tableColumn id="4" name="Message"/>
    <x:tableColumn id="5" name="Recommendation"/>
  </x:tableColumns>
  <x:tableStyleInfo name="TableStyleMedium2" showRowStripes="1"/>
</x:table>
</file>

<file path=xl/tables/table24.xml><?xml version="1.0" encoding="utf-8"?>
<x:table xmlns:x="http://schemas.openxmlformats.org/spreadsheetml/2006/main" id="24" name="AssumptionsTable" displayName="AssumptionsTable" ref="A1:D8" headerRowCount="1">
  <x:tableColumns count="4">
    <x:tableColumn id="1" name="Parameter/Topic"/>
    <x:tableColumn id="2" name="Value/Assumption"/>
    <x:tableColumn id="3" name="Source Type"/>
    <x:tableColumn id="4" name="Qualification/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bb0b86170b4d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4085c6b8a745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2e79528ca545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739b5e04364c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22f44511f841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886571e64f4a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9b920f24b5844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38b302530e74a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9ca1838d9fb48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649d4f858cc44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998e90781164d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4d9853ab33045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f5d8778442a448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99e57c1a42a4af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cb05dbe9839489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216990b25f841a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e2480cc75064cc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5209f4169c2438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d93aae8664f402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531aa74b8ac427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e477824e951649c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7bd715304a34e2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6ce9694c0ea45c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27d350b1679443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32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76.80000305175781" hidden="0" customHeight="1">
      <x:c r="A1" s="18" t="str">
        <x:v>OBC ADC Sensing Design — PMP23607_RevE2_F29H85x_MVP</x:v>
      </x:c>
      <x:c r="B1" s="18"/>
      <x:c r="C1" s="18"/>
      <x:c r="D1" s="18"/>
      <x:c r="E1" s="18"/>
      <x:c r="F1" s="18"/>
      <x:c r="G1" s="18"/>
      <x:c r="H1" s="18"/>
      <x:c r="I1" s="22"/>
      <x:c r="J1" s="22"/>
      <x:c r="K1" s="22"/>
    </x:row>
    <x:row r="2" ht="15" hidden="0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12" t="str">
        <x:v>KPI</x:v>
      </x:c>
      <x:c r="K2" s="12" t="str">
        <x:v>Value</x:v>
      </x:c>
    </x:row>
    <x:row r="3" ht="15" hidden="0" customHeight="1">
      <x:c r="A3" s="12" t="str">
        <x:v>Section</x:v>
      </x:c>
      <x:c r="B3" s="12" t="str">
        <x:v>Status</x:v>
      </x:c>
      <x:c r="C3" s="12" t="str">
        <x:v>Metric Count</x:v>
      </x:c>
      <x:c r="D3" s="12" t="str">
        <x:v>FAIL</x:v>
      </x:c>
      <x:c r="E3" s="12" t="str">
        <x:v>WARNING</x:v>
      </x:c>
      <x:c r="F3" s="12" t="str">
        <x:v>NOT EVALUATED</x:v>
      </x:c>
      <x:c r="G3" s="12" t="str">
        <x:v>Purpose</x:v>
      </x:c>
      <x:c r="H3" s="12" t="str">
        <x:v>Engineering Note</x:v>
      </x:c>
      <x:c r="I3" s="22"/>
      <x:c r="J3" s="22" t="str">
        <x:v>FAIL diagnostics</x:v>
      </x:c>
      <x:c r="K3" s="22" t="n">
        <x:f>SUM(D4:D200)</x:f>
        <x:v>3</x:v>
      </x:c>
    </x:row>
    <x:row r="4" ht="26.399999618530273" hidden="0" customHeight="1">
      <x:c r="A4" s="22" t="str">
        <x:v>10_System_Rating</x:v>
      </x:c>
      <x:c r="B4" s="22" t="str">
        <x:v>PASS</x:v>
      </x:c>
      <x:c r="C4" s="22" t="n">
        <x:v>8</x:v>
      </x:c>
      <x:c r="D4" s="22" t="n">
        <x:v>0</x:v>
      </x:c>
      <x:c r="E4" s="22" t="n">
        <x:v>0</x:v>
      </x:c>
      <x:c r="F4" s="22" t="n">
        <x:v>0</x:v>
      </x:c>
      <x:c r="G4" s="22" t="str">
        <x:v>Calculation / validation section</x:v>
      </x:c>
      <x:c r="H4" s="22" t="str">
        <x:v>No diagnostic raised</x:v>
      </x:c>
      <x:c r="I4" s="22"/>
      <x:c r="J4" s="22" t="str">
        <x:v>WARNING diagnostics</x:v>
      </x:c>
      <x:c r="K4" s="22" t="n">
        <x:f>SUM(E4:E200)</x:f>
        <x:v>4</x:v>
      </x:c>
    </x:row>
    <x:row r="5" ht="15" hidden="0" customHeight="1">
      <x:c r="A5" s="22" t="str">
        <x:v>15_Phase_Channels</x:v>
      </x:c>
      <x:c r="B5" s="22" t="str">
        <x:v>PASS</x:v>
      </x:c>
      <x:c r="C5" s="22" t="n">
        <x:v>1</x:v>
      </x:c>
      <x:c r="D5" s="22" t="n">
        <x:v>0</x:v>
      </x:c>
      <x:c r="E5" s="22" t="n">
        <x:v>0</x:v>
      </x:c>
      <x:c r="F5" s="22" t="n">
        <x:v>0</x:v>
      </x:c>
      <x:c r="G5" s="22" t="str">
        <x:v>Calculation / validation section</x:v>
      </x:c>
      <x:c r="H5" s="22" t="str">
        <x:v>No diagnostic raised</x:v>
      </x:c>
      <x:c r="I5" s="22"/>
      <x:c r="J5" s="22" t="str">
        <x:v>Not evaluated</x:v>
      </x:c>
      <x:c r="K5" s="22" t="n">
        <x:f>SUM(F4:F200)</x:f>
        <x:v>10</x:v>
      </x:c>
    </x:row>
    <x:row r="6" ht="26.399999618530273" hidden="0" customHeight="1">
      <x:c r="A6" s="22" t="str">
        <x:v>20_IAC_Hall</x:v>
      </x:c>
      <x:c r="B6" s="22" t="str">
        <x:v>WARNING</x:v>
      </x:c>
      <x:c r="C6" s="22" t="n">
        <x:v>12</x:v>
      </x:c>
      <x:c r="D6" s="22" t="n">
        <x:v>0</x:v>
      </x:c>
      <x:c r="E6" s="22" t="n">
        <x:v>1</x:v>
      </x:c>
      <x:c r="F6" s="22" t="n">
        <x:v>0</x:v>
      </x:c>
      <x:c r="G6" s="22" t="str">
        <x:v>Calculation / validation section</x:v>
      </x:c>
      <x:c r="H6" s="22" t="str">
        <x:v>Only 26.8% of ADC full scale is used at the PMP23607 design current.</x:v>
      </x:c>
      <x:c r="I6" s="22"/>
      <x:c r="J6" s="22" t="str">
        <x:v>Sections</x:v>
      </x:c>
      <x:c r="K6" s="22" t="n">
        <x:f>COUNTA(A4:A200)</x:f>
        <x:v>19</x:v>
      </x:c>
    </x:row>
    <x:row r="7" ht="26.399999618530273" hidden="0" customHeight="1">
      <x:c r="A7" s="22" t="str">
        <x:v>40_VAC</x:v>
      </x:c>
      <x:c r="B7" s="22" t="str">
        <x:v>FAIL</x:v>
      </x:c>
      <x:c r="C7" s="22" t="n">
        <x:v>8</x:v>
      </x:c>
      <x:c r="D7" s="22" t="n">
        <x:v>2</x:v>
      </x:c>
      <x:c r="E7" s="22" t="n">
        <x:v>0</x:v>
      </x:c>
      <x:c r="F7" s="22" t="n">
        <x:v>0</x:v>
      </x:c>
      <x:c r="G7" s="22" t="str">
        <x:v>Calculation / validation section</x:v>
      </x:c>
      <x:c r="H7" s="22" t="str">
        <x:v>VAC divider drives the isolation input to 1.432 V, beyond the ±1.000 V linear range.</x:v>
      </x:c>
      <x:c r="I7" s="22"/>
      <x:c r="J7" s="22"/>
      <x:c r="K7" s="22"/>
    </x:row>
    <x:row r="8" ht="26.399999618530273" hidden="0" customHeight="1">
      <x:c r="A8" s="22" t="str">
        <x:v>21_IAC_Filter</x:v>
      </x:c>
      <x:c r="B8" s="22" t="str">
        <x:v>WARNING</x:v>
      </x:c>
      <x:c r="C8" s="22" t="n">
        <x:v>6</x:v>
      </x:c>
      <x:c r="D8" s="22" t="n">
        <x:v>0</x:v>
      </x:c>
      <x:c r="E8" s="22" t="n">
        <x:v>1</x:v>
      </x:c>
      <x:c r="F8" s="22" t="n">
        <x:v>0</x:v>
      </x:c>
      <x:c r="G8" s="22" t="str">
        <x:v>Calculation / validation section</x:v>
      </x:c>
      <x:c r="H8" s="22" t="str">
        <x:v>Single-pole attenuation at switching frequency is only -2.8 dB.</x:v>
      </x:c>
      <x:c r="I8" s="22"/>
      <x:c r="J8" s="22"/>
      <x:c r="K8" s="22"/>
    </x:row>
    <x:row r="9" ht="26.399999618530273" hidden="0" customHeight="1">
      <x:c r="A9" s="22" t="str">
        <x:v>42_VAC_Filter</x:v>
      </x:c>
      <x:c r="B9" s="22" t="str">
        <x:v>WARNING</x:v>
      </x:c>
      <x:c r="C9" s="22" t="n">
        <x:v>6</x:v>
      </x:c>
      <x:c r="D9" s="22" t="n">
        <x:v>0</x:v>
      </x:c>
      <x:c r="E9" s="22" t="n">
        <x:v>1</x:v>
      </x:c>
      <x:c r="F9" s="22" t="n">
        <x:v>0</x:v>
      </x:c>
      <x:c r="G9" s="22" t="str">
        <x:v>Calculation / validation section</x:v>
      </x:c>
      <x:c r="H9" s="22" t="str">
        <x:v>Single-pole attenuation at switching frequency is only -3.2 dB.</x:v>
      </x:c>
      <x:c r="I9" s="22"/>
      <x:c r="J9" s="22"/>
      <x:c r="K9" s="22"/>
    </x:row>
    <x:row r="10" ht="26.399999618530273" hidden="0" customHeight="1">
      <x:c r="A10" s="22" t="str">
        <x:v>30_IDC_Shunt</x:v>
      </x:c>
      <x:c r="B10" s="22" t="str">
        <x:v>WARNING</x:v>
      </x:c>
      <x:c r="C10" s="22" t="n">
        <x:v>13</x:v>
      </x:c>
      <x:c r="D10" s="22" t="n">
        <x:v>0</x:v>
      </x:c>
      <x:c r="E10" s="22" t="n">
        <x:v>1</x:v>
      </x:c>
      <x:c r="F10" s="22" t="n">
        <x:v>1</x:v>
      </x:c>
      <x:c r="G10" s="22" t="str">
        <x:v>Calculation / validation section</x:v>
      </x:c>
      <x:c r="H10" s="22" t="str">
        <x:v>IDC amplifier input offset is not configured.</x:v>
      </x:c>
      <x:c r="I10" s="22"/>
      <x:c r="J10" s="22"/>
      <x:c r="K10" s="22"/>
    </x:row>
    <x:row r="11" ht="15" hidden="0" customHeight="1">
      <x:c r="A11" s="22" t="str">
        <x:v>41_VDC</x:v>
      </x:c>
      <x:c r="B11" s="22" t="str">
        <x:v>PASS</x:v>
      </x:c>
      <x:c r="C11" s="22" t="n">
        <x:v>7</x:v>
      </x:c>
      <x:c r="D11" s="22" t="n">
        <x:v>0</x:v>
      </x:c>
      <x:c r="E11" s="22" t="n">
        <x:v>0</x:v>
      </x:c>
      <x:c r="F11" s="22" t="n">
        <x:v>0</x:v>
      </x:c>
      <x:c r="G11" s="22" t="str">
        <x:v>Calculation / validation section</x:v>
      </x:c>
      <x:c r="H11" s="22" t="str">
        <x:v>No diagnostic raised</x:v>
      </x:c>
      <x:c r="I11" s="22"/>
      <x:c r="J11" s="22"/>
      <x:c r="K11" s="22"/>
    </x:row>
    <x:row r="12" ht="15" hidden="0" customHeight="1">
      <x:c r="A12" s="22" t="str">
        <x:v>31_IDC_Filter</x:v>
      </x:c>
      <x:c r="B12" s="22" t="str">
        <x:v>FAIL</x:v>
      </x:c>
      <x:c r="C12" s="22" t="n">
        <x:v>6</x:v>
      </x:c>
      <x:c r="D12" s="22" t="n">
        <x:v>1</x:v>
      </x:c>
      <x:c r="E12" s="22" t="n">
        <x:v>0</x:v>
      </x:c>
      <x:c r="F12" s="22" t="n">
        <x:v>0</x:v>
      </x:c>
      <x:c r="G12" s="22" t="str">
        <x:v>Calculation / validation section</x:v>
      </x:c>
      <x:c r="H12" s="22" t="str">
        <x:v>Analog phase loss 16.42° exceeds 15.00°.</x:v>
      </x:c>
      <x:c r="I12" s="22"/>
      <x:c r="J12" s="22"/>
      <x:c r="K12" s="22"/>
    </x:row>
    <x:row r="13" ht="15" hidden="0" customHeight="1">
      <x:c r="A13" s="22" t="str">
        <x:v>43_VDC_Filter</x:v>
      </x:c>
      <x:c r="B13" s="22" t="str">
        <x:v>PASS</x:v>
      </x:c>
      <x:c r="C13" s="22" t="n">
        <x:v>6</x:v>
      </x:c>
      <x:c r="D13" s="22" t="n">
        <x:v>0</x:v>
      </x:c>
      <x:c r="E13" s="22" t="n">
        <x:v>0</x:v>
      </x:c>
      <x:c r="F13" s="22" t="n">
        <x:v>0</x:v>
      </x:c>
      <x:c r="G13" s="22" t="str">
        <x:v>Calculation / validation section</x:v>
      </x:c>
      <x:c r="H13" s="22" t="str">
        <x:v>No diagnostic raised</x:v>
      </x:c>
      <x:c r="I13" s="22"/>
      <x:c r="J13" s="22"/>
      <x:c r="K13" s="22"/>
    </x:row>
    <x:row r="14" ht="39.599998474121094" hidden="0" customHeight="1">
      <x:c r="A14" s="22" t="str">
        <x:v>50_ADC_Timing</x:v>
      </x:c>
      <x:c r="B14" s="22" t="str">
        <x:v>WARNING</x:v>
      </x:c>
      <x:c r="C14" s="22" t="n">
        <x:v>8</x:v>
      </x:c>
      <x:c r="D14" s="22" t="n">
        <x:v>0</x:v>
      </x:c>
      <x:c r="E14" s="22" t="n">
        <x:v>0</x:v>
      </x:c>
      <x:c r="F14" s="22" t="n">
        <x:v>1</x:v>
      </x:c>
      <x:c r="G14" s="22" t="str">
        <x:v>Calculation / validation section</x:v>
      </x:c>
      <x:c r="H14" s="22" t="str">
        <x:v>Exact ADC acquisition model is not evaluated because MCU internal parameters are not provided.</x:v>
      </x:c>
      <x:c r="I14" s="22"/>
      <x:c r="J14" s="22"/>
      <x:c r="K14" s="22"/>
    </x:row>
    <x:row r="15" ht="26.399999618530273" hidden="0" customHeight="1">
      <x:c r="A15" s="22" t="str">
        <x:v>55_IAC_Delay</x:v>
      </x:c>
      <x:c r="B15" s="22" t="str">
        <x:v>WARNING</x:v>
      </x:c>
      <x:c r="C15" s="22" t="n">
        <x:v>7</x:v>
      </x:c>
      <x:c r="D15" s="22" t="n">
        <x:v>0</x:v>
      </x:c>
      <x:c r="E15" s="22" t="n">
        <x:v>0</x:v>
      </x:c>
      <x:c r="F15" s="22" t="n">
        <x:v>1</x:v>
      </x:c>
      <x:c r="G15" s="22" t="str">
        <x:v>Calculation / validation section</x:v>
      </x:c>
      <x:c r="H15" s="22" t="str">
        <x:v>Delay budget is incomplete; missing: adc, isr, pwm.</x:v>
      </x:c>
      <x:c r="I15" s="22"/>
      <x:c r="J15" s="22"/>
      <x:c r="K15" s="22"/>
    </x:row>
    <x:row r="16" ht="26.399999618530273" hidden="0" customHeight="1">
      <x:c r="A16" s="22" t="str">
        <x:v>55_IDC_Delay</x:v>
      </x:c>
      <x:c r="B16" s="22" t="str">
        <x:v>WARNING</x:v>
      </x:c>
      <x:c r="C16" s="22" t="n">
        <x:v>7</x:v>
      </x:c>
      <x:c r="D16" s="22" t="n">
        <x:v>0</x:v>
      </x:c>
      <x:c r="E16" s="22" t="n">
        <x:v>0</x:v>
      </x:c>
      <x:c r="F16" s="22" t="n">
        <x:v>1</x:v>
      </x:c>
      <x:c r="G16" s="22" t="str">
        <x:v>Calculation / validation section</x:v>
      </x:c>
      <x:c r="H16" s="22" t="str">
        <x:v>Delay budget is incomplete; missing: isolation, adc, isr, pwm.</x:v>
      </x:c>
      <x:c r="I16" s="22"/>
      <x:c r="J16" s="22"/>
      <x:c r="K16" s="22"/>
    </x:row>
    <x:row r="17" ht="26.399999618530273" hidden="0" customHeight="1">
      <x:c r="A17" s="22" t="str">
        <x:v>55_VAC_Delay</x:v>
      </x:c>
      <x:c r="B17" s="22" t="str">
        <x:v>WARNING</x:v>
      </x:c>
      <x:c r="C17" s="22" t="n">
        <x:v>7</x:v>
      </x:c>
      <x:c r="D17" s="22" t="n">
        <x:v>0</x:v>
      </x:c>
      <x:c r="E17" s="22" t="n">
        <x:v>0</x:v>
      </x:c>
      <x:c r="F17" s="22" t="n">
        <x:v>1</x:v>
      </x:c>
      <x:c r="G17" s="22" t="str">
        <x:v>Calculation / validation section</x:v>
      </x:c>
      <x:c r="H17" s="22" t="str">
        <x:v>Delay budget is incomplete; missing: adc, isr, pwm.</x:v>
      </x:c>
      <x:c r="I17" s="22"/>
      <x:c r="J17" s="22"/>
      <x:c r="K17" s="22"/>
    </x:row>
    <x:row r="18" ht="26.399999618530273" hidden="0" customHeight="1">
      <x:c r="A18" s="22" t="str">
        <x:v>55_VDC_Delay</x:v>
      </x:c>
      <x:c r="B18" s="22" t="str">
        <x:v>WARNING</x:v>
      </x:c>
      <x:c r="C18" s="22" t="n">
        <x:v>7</x:v>
      </x:c>
      <x:c r="D18" s="22" t="n">
        <x:v>0</x:v>
      </x:c>
      <x:c r="E18" s="22" t="n">
        <x:v>0</x:v>
      </x:c>
      <x:c r="F18" s="22" t="n">
        <x:v>1</x:v>
      </x:c>
      <x:c r="G18" s="22" t="str">
        <x:v>Calculation / validation section</x:v>
      </x:c>
      <x:c r="H18" s="22" t="str">
        <x:v>Delay budget is incomplete; missing: sensor, isolation, adc, isr, pwm.</x:v>
      </x:c>
      <x:c r="I18" s="22"/>
      <x:c r="J18" s="22"/>
      <x:c r="K18" s="22"/>
    </x:row>
    <x:row r="19" ht="26.399999618530273" hidden="0" customHeight="1">
      <x:c r="A19" s="22" t="str">
        <x:v>60_IAC_Error</x:v>
      </x:c>
      <x:c r="B19" s="22" t="str">
        <x:v>WARNING</x:v>
      </x:c>
      <x:c r="C19" s="22" t="n">
        <x:v>2</x:v>
      </x:c>
      <x:c r="D19" s="22" t="n">
        <x:v>0</x:v>
      </x:c>
      <x:c r="E19" s="22" t="n">
        <x:v>0</x:v>
      </x:c>
      <x:c r="F19" s="22" t="n">
        <x:v>1</x:v>
      </x:c>
      <x:c r="G19" s="22" t="str">
        <x:v>Calculation / validation section</x:v>
      </x:c>
      <x:c r="H19" s="22" t="str">
        <x:v>No channel error-source data are configured.</x:v>
      </x:c>
      <x:c r="I19" s="22"/>
      <x:c r="J19" s="22"/>
      <x:c r="K19" s="22"/>
    </x:row>
    <x:row r="20" ht="26.399999618530273" hidden="0" customHeight="1">
      <x:c r="A20" s="22" t="str">
        <x:v>60_IDC_Error</x:v>
      </x:c>
      <x:c r="B20" s="22" t="str">
        <x:v>WARNING</x:v>
      </x:c>
      <x:c r="C20" s="22" t="n">
        <x:v>2</x:v>
      </x:c>
      <x:c r="D20" s="22" t="n">
        <x:v>0</x:v>
      </x:c>
      <x:c r="E20" s="22" t="n">
        <x:v>0</x:v>
      </x:c>
      <x:c r="F20" s="22" t="n">
        <x:v>1</x:v>
      </x:c>
      <x:c r="G20" s="22" t="str">
        <x:v>Calculation / validation section</x:v>
      </x:c>
      <x:c r="H20" s="22" t="str">
        <x:v>No channel error-source data are configured.</x:v>
      </x:c>
      <x:c r="I20" s="22"/>
      <x:c r="J20" s="22"/>
      <x:c r="K20" s="22"/>
    </x:row>
    <x:row r="21" ht="26.399999618530273" hidden="0" customHeight="1">
      <x:c r="A21" s="22" t="str">
        <x:v>60_VAC_Error</x:v>
      </x:c>
      <x:c r="B21" s="22" t="str">
        <x:v>WARNING</x:v>
      </x:c>
      <x:c r="C21" s="22" t="n">
        <x:v>2</x:v>
      </x:c>
      <x:c r="D21" s="22" t="n">
        <x:v>0</x:v>
      </x:c>
      <x:c r="E21" s="22" t="n">
        <x:v>0</x:v>
      </x:c>
      <x:c r="F21" s="22" t="n">
        <x:v>1</x:v>
      </x:c>
      <x:c r="G21" s="22" t="str">
        <x:v>Calculation / validation section</x:v>
      </x:c>
      <x:c r="H21" s="22" t="str">
        <x:v>No channel error-source data are configured.</x:v>
      </x:c>
      <x:c r="I21" s="22"/>
      <x:c r="J21" s="22"/>
      <x:c r="K21" s="22"/>
    </x:row>
    <x:row r="22" ht="26.399999618530273" hidden="0" customHeight="1">
      <x:c r="A22" s="22" t="str">
        <x:v>60_VDC_Error</x:v>
      </x:c>
      <x:c r="B22" s="22" t="str">
        <x:v>WARNING</x:v>
      </x:c>
      <x:c r="C22" s="22" t="n">
        <x:v>2</x:v>
      </x:c>
      <x:c r="D22" s="22" t="n">
        <x:v>0</x:v>
      </x:c>
      <x:c r="E22" s="22" t="n">
        <x:v>0</x:v>
      </x:c>
      <x:c r="F22" s="22" t="n">
        <x:v>1</x:v>
      </x:c>
      <x:c r="G22" s="22" t="str">
        <x:v>Calculation / validation section</x:v>
      </x:c>
      <x:c r="H22" s="22" t="str">
        <x:v>No channel error-source data are configured.</x:v>
      </x:c>
      <x:c r="I22" s="22"/>
      <x:c r="J22" s="22"/>
      <x:c r="K22" s="22"/>
    </x:row>
    <x:row r="23" ht="15" hidden="0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 ht="15" hidden="0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 ht="15" hidden="0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 ht="15" hidden="0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 ht="15" hidden="0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 ht="15" hidden="0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 ht="15" hidden="0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 ht="15" hidden="0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</x:sheetData>
  <x:mergeCells>
    <x:mergeCell ref="A1:H1"/>
  </x:mergeCells>
  <x:conditionalFormatting sqref="B4:B22">
    <x:cfRule type="expression" dxfId="0" priority="1">
      <x:formula>B4="PASS"</x:formula>
    </x:cfRule>
    <x:cfRule type="expression" dxfId="1" priority="2">
      <x:formula>B4="WARNING"</x:formula>
    </x:cfRule>
    <x:cfRule type="expression" dxfId="2" priority="3">
      <x:formula>B4="FAIL"</x:formula>
    </x:cfRule>
    <x:cfRule type="expression" dxfId="3" priority="4">
      <x:formula>B4="NOT_EVALUATED"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bb0b86170b4d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4" max="4" width="26" hidden="0" customWidth="1"/>
  </x:cols>
  <x:sheetData>
    <x:row r="1" ht="15" hidden="0" customHeight="1">
      <x:c r="A1" s="12" t="str">
        <x:v>Path</x:v>
      </x:c>
      <x:c r="B1" s="12" t="str">
        <x:v>Value</x:v>
      </x:c>
      <x:c r="C1" s="12" t="str">
        <x:v>Type</x:v>
      </x:c>
      <x:c r="D1" s="12" t="str">
        <x:v>Source/Qualification</x:v>
      </x:c>
    </x:row>
    <x:row r="2" ht="26.399999618530273" hidden="0" customHeight="1">
      <x:c r="A2" s="22" t="str">
        <x:v>metadata.profile</x:v>
      </x:c>
      <x:c r="B2" s="22" t="str">
        <x:v>PMP23607_RevE2_F29H85x_MVP</x:v>
      </x:c>
      <x:c r="C2" s="22" t="str">
        <x:v>str</x:v>
      </x:c>
      <x:c r="D2" s="22" t="str">
        <x:v>user/profile input</x:v>
      </x:c>
    </x:row>
    <x:row r="3" ht="15" hidden="0" customHeight="1">
      <x:c r="A3" s="22" t="str">
        <x:v>metadata.version</x:v>
      </x:c>
      <x:c r="B3" s="22" t="str">
        <x:v>0.2.0</x:v>
      </x:c>
      <x:c r="C3" s="22" t="str">
        <x:v>str</x:v>
      </x:c>
      <x:c r="D3" s="22" t="str">
        <x:v>user/profile input</x:v>
      </x:c>
    </x:row>
    <x:row r="4" ht="39.599998474121094" hidden="0" customHeight="1">
      <x:c r="A4" s="22" t="str">
        <x:v>metadata.description</x:v>
      </x:c>
      <x:c r="B4" s="22" t="str">
        <x:v>PMP23607 bidirectional one-stage OBC sensing design calculator profile</x:v>
      </x:c>
      <x:c r="C4" s="22" t="str">
        <x:v>str</x:v>
      </x:c>
      <x:c r="D4" s="22" t="str">
        <x:v>user/profile input</x:v>
      </x:c>
    </x:row>
    <x:row r="5" ht="15" hidden="0" customHeight="1">
      <x:c r="A5" s="22" t="str">
        <x:v>system.phase_count</x:v>
      </x:c>
      <x:c r="B5" s="22" t="n">
        <x:v>1</x:v>
      </x:c>
      <x:c r="C5" s="22" t="str">
        <x:v>int</x:v>
      </x:c>
      <x:c r="D5" s="22" t="str">
        <x:v>user/profile input</x:v>
      </x:c>
    </x:row>
    <x:row r="6" ht="15" hidden="0" customHeight="1">
      <x:c r="A6" s="22" t="str">
        <x:v>system.ac_voltage_basis</x:v>
      </x:c>
      <x:c r="B6" s="22" t="str">
        <x:v>single_phase</x:v>
      </x:c>
      <x:c r="C6" s="22" t="str">
        <x:v>str</x:v>
      </x:c>
      <x:c r="D6" s="22" t="str">
        <x:v>user/profile input</x:v>
      </x:c>
    </x:row>
    <x:row r="7" ht="15" hidden="0" customHeight="1">
      <x:c r="A7" s="22" t="str">
        <x:v>system.rated_power_w</x:v>
      </x:c>
      <x:c r="B7" s="22" t="n">
        <x:v>2500</x:v>
      </x:c>
      <x:c r="C7" s="22" t="str">
        <x:v>float</x:v>
      </x:c>
      <x:c r="D7" s="22" t="str">
        <x:v>user/profile input</x:v>
      </x:c>
    </x:row>
    <x:row r="8" ht="15" hidden="0" customHeight="1">
      <x:c r="A8" s="22" t="str">
        <x:v>system.peak_power_w</x:v>
      </x:c>
      <x:c r="B8" s="22" t="n">
        <x:v>2500</x:v>
      </x:c>
      <x:c r="C8" s="22" t="str">
        <x:v>float</x:v>
      </x:c>
      <x:c r="D8" s="22" t="str">
        <x:v>user/profile input</x:v>
      </x:c>
    </x:row>
    <x:row r="9" ht="15" hidden="0" customHeight="1">
      <x:c r="A9" s="22" t="str">
        <x:v>system.vac_min_rms_v</x:v>
      </x:c>
      <x:c r="B9" s="22" t="n">
        <x:v>180</x:v>
      </x:c>
      <x:c r="C9" s="22" t="str">
        <x:v>float</x:v>
      </x:c>
      <x:c r="D9" s="22" t="str">
        <x:v>user/profile input</x:v>
      </x:c>
    </x:row>
    <x:row r="10" ht="15" hidden="0" customHeight="1">
      <x:c r="A10" s="22" t="str">
        <x:v>system.vac_nom_rms_v</x:v>
      </x:c>
      <x:c r="B10" s="22" t="n">
        <x:v>230</x:v>
      </x:c>
      <x:c r="C10" s="22" t="str">
        <x:v>float</x:v>
      </x:c>
      <x:c r="D10" s="22" t="str">
        <x:v>user/profile input</x:v>
      </x:c>
    </x:row>
    <x:row r="11" ht="15" hidden="0" customHeight="1">
      <x:c r="A11" s="22" t="str">
        <x:v>system.vac_max_rms_v</x:v>
      </x:c>
      <x:c r="B11" s="22" t="n">
        <x:v>265</x:v>
      </x:c>
      <x:c r="C11" s="22" t="str">
        <x:v>float</x:v>
      </x:c>
      <x:c r="D11" s="22" t="str">
        <x:v>user/profile input</x:v>
      </x:c>
    </x:row>
    <x:row r="12" ht="15" hidden="0" customHeight="1">
      <x:c r="A12" s="22" t="str">
        <x:v>system.vdc_min_v</x:v>
      </x:c>
      <x:c r="B12" s="22" t="n">
        <x:v>370</x:v>
      </x:c>
      <x:c r="C12" s="22" t="str">
        <x:v>float</x:v>
      </x:c>
      <x:c r="D12" s="22" t="str">
        <x:v>user/profile input</x:v>
      </x:c>
    </x:row>
    <x:row r="13" ht="15" hidden="0" customHeight="1">
      <x:c r="A13" s="22" t="str">
        <x:v>system.vdc_nom_v</x:v>
      </x:c>
      <x:c r="B13" s="22" t="n">
        <x:v>400</x:v>
      </x:c>
      <x:c r="C13" s="22" t="str">
        <x:v>float</x:v>
      </x:c>
      <x:c r="D13" s="22" t="str">
        <x:v>user/profile input</x:v>
      </x:c>
    </x:row>
    <x:row r="14" ht="15" hidden="0" customHeight="1">
      <x:c r="A14" s="22" t="str">
        <x:v>system.vdc_max_v</x:v>
      </x:c>
      <x:c r="B14" s="22" t="n">
        <x:v>420</x:v>
      </x:c>
      <x:c r="C14" s="22" t="str">
        <x:v>float</x:v>
      </x:c>
      <x:c r="D14" s="22" t="str">
        <x:v>user/profile input</x:v>
      </x:c>
    </x:row>
    <x:row r="15" ht="15" hidden="0" customHeight="1">
      <x:c r="A15" s="22" t="str">
        <x:v>system.efficiency_min</x:v>
      </x:c>
      <x:c r="B15" s="22" t="n">
        <x:v>0.95</x:v>
      </x:c>
      <x:c r="C15" s="22" t="str">
        <x:v>float</x:v>
      </x:c>
      <x:c r="D15" s="22" t="str">
        <x:v>user/profile input</x:v>
      </x:c>
    </x:row>
    <x:row r="16" ht="15" hidden="0" customHeight="1">
      <x:c r="A16" s="22" t="str">
        <x:v>system.power_factor_min</x:v>
      </x:c>
      <x:c r="B16" s="22" t="n">
        <x:v>0.99</x:v>
      </x:c>
      <x:c r="C16" s="22" t="str">
        <x:v>float</x:v>
      </x:c>
      <x:c r="D16" s="22" t="str">
        <x:v>user/profile input</x:v>
      </x:c>
    </x:row>
    <x:row r="17" ht="15" hidden="0" customHeight="1">
      <x:c r="A17" s="22" t="str">
        <x:v>system.switching_frequency_hz</x:v>
      </x:c>
      <x:c r="B17" s="22" t="n">
        <x:v>150000</x:v>
      </x:c>
      <x:c r="C17" s="22" t="str">
        <x:v>float</x:v>
      </x:c>
      <x:c r="D17" s="22" t="str">
        <x:v>user/profile input</x:v>
      </x:c>
    </x:row>
    <x:row r="18" ht="15" hidden="0" customHeight="1">
      <x:c r="A18" s="22" t="str">
        <x:v>system.overload_factor</x:v>
      </x:c>
      <x:c r="B18" s="22" t="n">
        <x:v>1.1</x:v>
      </x:c>
      <x:c r="C18" s="22" t="str">
        <x:v>float</x:v>
      </x:c>
      <x:c r="D18" s="22" t="str">
        <x:v>user/profile input</x:v>
      </x:c>
    </x:row>
    <x:row r="19" ht="15" hidden="0" customHeight="1">
      <x:c r="A19" s="22" t="str">
        <x:v>system.default_range_margin</x:v>
      </x:c>
      <x:c r="B19" s="22" t="n">
        <x:v>1.2</x:v>
      </x:c>
      <x:c r="C19" s="22" t="str">
        <x:v>float</x:v>
      </x:c>
      <x:c r="D19" s="22" t="str">
        <x:v>user/profile input</x:v>
      </x:c>
    </x:row>
    <x:row r="20" ht="15" hidden="0" customHeight="1">
      <x:c r="A20" s="22" t="str">
        <x:v>system.bidirectional</x:v>
      </x:c>
      <x:c r="B20" s="28" t="b">
        <x:v>1</x:v>
      </x:c>
      <x:c r="C20" s="22" t="str">
        <x:v>bool</x:v>
      </x:c>
      <x:c r="D20" s="22" t="str">
        <x:v>user/profile input</x:v>
      </x:c>
    </x:row>
    <x:row r="21" ht="15" hidden="0" customHeight="1">
      <x:c r="A21" s="22" t="str">
        <x:v>control.iac_loop_bandwidth_hz</x:v>
      </x:c>
      <x:c r="B21" s="22" t="n">
        <x:v>3000</x:v>
      </x:c>
      <x:c r="C21" s="22" t="str">
        <x:v>float</x:v>
      </x:c>
      <x:c r="D21" s="22" t="str">
        <x:v>user/profile input</x:v>
      </x:c>
    </x:row>
    <x:row r="22" ht="15" hidden="0" customHeight="1">
      <x:c r="A22" s="22" t="str">
        <x:v>control.idc_loop_bandwidth_hz</x:v>
      </x:c>
      <x:c r="B22" s="22" t="n">
        <x:v>2000</x:v>
      </x:c>
      <x:c r="C22" s="22" t="str">
        <x:v>float</x:v>
      </x:c>
      <x:c r="D22" s="22" t="str">
        <x:v>user/profile input</x:v>
      </x:c>
    </x:row>
    <x:row r="23" ht="15" hidden="0" customHeight="1">
      <x:c r="A23" s="22" t="str">
        <x:v>control.vdc_loop_bandwidth_hz</x:v>
      </x:c>
      <x:c r="B23" s="22" t="n">
        <x:v>20</x:v>
      </x:c>
      <x:c r="C23" s="22" t="str">
        <x:v>float</x:v>
      </x:c>
      <x:c r="D23" s="22" t="str">
        <x:v>user/profile input</x:v>
      </x:c>
    </x:row>
    <x:row r="24" ht="15" hidden="0" customHeight="1">
      <x:c r="A24" s="22" t="str">
        <x:v>control.pll_bandwidth_hz</x:v>
      </x:c>
      <x:c r="B24" s="22" t="n">
        <x:v>30</x:v>
      </x:c>
      <x:c r="C24" s="22" t="str">
        <x:v>float</x:v>
      </x:c>
      <x:c r="D24" s="22" t="str">
        <x:v>user/profile input</x:v>
      </x:c>
    </x:row>
    <x:row r="25" ht="15" hidden="0" customHeight="1">
      <x:c r="A25" s="22" t="str">
        <x:v>control.line_frequency_hz</x:v>
      </x:c>
      <x:c r="B25" s="22" t="n">
        <x:v>50</x:v>
      </x:c>
      <x:c r="C25" s="22" t="str">
        <x:v>float</x:v>
      </x:c>
      <x:c r="D25" s="22" t="str">
        <x:v>user/profile input</x:v>
      </x:c>
    </x:row>
    <x:row r="26" ht="15" hidden="0" customHeight="1">
      <x:c r="A26" s="22" t="str">
        <x:v>targets.bandwidth_multiplier</x:v>
      </x:c>
      <x:c r="B26" s="22" t="n">
        <x:v>5</x:v>
      </x:c>
      <x:c r="C26" s="22" t="str">
        <x:v>float</x:v>
      </x:c>
      <x:c r="D26" s="22" t="str">
        <x:v>user/profile input</x:v>
      </x:c>
    </x:row>
    <x:row r="27" ht="15" hidden="0" customHeight="1">
      <x:c r="A27" s="22" t="str">
        <x:v>targets.iac_phase_loss_deg</x:v>
      </x:c>
      <x:c r="B27" s="22" t="n">
        <x:v>15</x:v>
      </x:c>
      <x:c r="C27" s="22" t="str">
        <x:v>float</x:v>
      </x:c>
      <x:c r="D27" s="22" t="str">
        <x:v>user/profile input</x:v>
      </x:c>
    </x:row>
    <x:row r="28" ht="15" hidden="0" customHeight="1">
      <x:c r="A28" s="22" t="str">
        <x:v>targets.idc_phase_loss_deg</x:v>
      </x:c>
      <x:c r="B28" s="22" t="n">
        <x:v>15</x:v>
      </x:c>
      <x:c r="C28" s="22" t="str">
        <x:v>float</x:v>
      </x:c>
      <x:c r="D28" s="22" t="str">
        <x:v>user/profile input</x:v>
      </x:c>
    </x:row>
    <x:row r="29" ht="15" hidden="0" customHeight="1">
      <x:c r="A29" s="22" t="str">
        <x:v>targets.vdc_phase_loss_deg</x:v>
      </x:c>
      <x:c r="B29" s="22" t="n">
        <x:v>5</x:v>
      </x:c>
      <x:c r="C29" s="22" t="str">
        <x:v>float</x:v>
      </x:c>
      <x:c r="D29" s="22" t="str">
        <x:v>user/profile input</x:v>
      </x:c>
    </x:row>
    <x:row r="30" ht="15" hidden="0" customHeight="1">
      <x:c r="A30" s="22" t="str">
        <x:v>targets.vac_line_phase_error_deg</x:v>
      </x:c>
      <x:c r="B30" s="22" t="n">
        <x:v>0.5</x:v>
      </x:c>
      <x:c r="C30" s="22" t="str">
        <x:v>float</x:v>
      </x:c>
      <x:c r="D30" s="22" t="str">
        <x:v>user/profile input</x:v>
      </x:c>
    </x:row>
    <x:row r="31" ht="15" hidden="0" customHeight="1">
      <x:c r="A31" s="22" t="str">
        <x:v>targets.vac_pll_phase_loss_deg</x:v>
      </x:c>
      <x:c r="B31" s="22" t="n">
        <x:v>5</x:v>
      </x:c>
      <x:c r="C31" s="22" t="str">
        <x:v>float</x:v>
      </x:c>
      <x:c r="D31" s="22" t="str">
        <x:v>user/profile input</x:v>
      </x:c>
    </x:row>
    <x:row r="32" ht="15" hidden="0" customHeight="1">
      <x:c r="A32" s="22" t="str">
        <x:v>adc.resolution_bits</x:v>
      </x:c>
      <x:c r="B32" s="22" t="n">
        <x:v>12</x:v>
      </x:c>
      <x:c r="C32" s="22" t="str">
        <x:v>int</x:v>
      </x:c>
      <x:c r="D32" s="22" t="str">
        <x:v>user/profile input</x:v>
      </x:c>
    </x:row>
    <x:row r="33" ht="15" hidden="0" customHeight="1">
      <x:c r="A33" s="22" t="str">
        <x:v>adc.reference_voltage_v</x:v>
      </x:c>
      <x:c r="B33" s="22" t="n">
        <x:v>3</x:v>
      </x:c>
      <x:c r="C33" s="22" t="str">
        <x:v>float</x:v>
      </x:c>
      <x:c r="D33" s="22" t="str">
        <x:v>user/profile input</x:v>
      </x:c>
    </x:row>
    <x:row r="34" ht="15" hidden="0" customHeight="1">
      <x:c r="A34" s="22" t="str">
        <x:v>adc.sysclk_hz</x:v>
      </x:c>
      <x:c r="B34" s="22" t="n">
        <x:v>200000000</x:v>
      </x:c>
      <x:c r="C34" s="22" t="str">
        <x:v>float</x:v>
      </x:c>
      <x:c r="D34" s="22" t="str">
        <x:v>user/profile input</x:v>
      </x:c>
    </x:row>
    <x:row r="35" ht="15" hidden="0" customHeight="1">
      <x:c r="A35" s="22" t="str">
        <x:v>adc.minimum_sample_window_s</x:v>
      </x:c>
      <x:c r="B35" s="22" t="n">
        <x:v>0</x:v>
      </x:c>
      <x:c r="C35" s="22" t="str">
        <x:v>float</x:v>
      </x:c>
      <x:c r="D35" s="22" t="str">
        <x:v>user/profile input</x:v>
      </x:c>
    </x:row>
    <x:row r="36" ht="15" hidden="0" customHeight="1">
      <x:c r="A36" s="22" t="str">
        <x:v>adc.existing_sample_window_cycles</x:v>
      </x:c>
      <x:c r="B36" s="22" t="n">
        <x:v>20</x:v>
      </x:c>
      <x:c r="C36" s="22" t="str">
        <x:v>int</x:v>
      </x:c>
      <x:c r="D36" s="22" t="str">
        <x:v>user/profile input</x:v>
      </x:c>
    </x:row>
    <x:row r="37" ht="15" hidden="0" customHeight="1">
      <x:c r="A37" s="22" t="str">
        <x:v>adc.acquisition.target_error_lsb</x:v>
      </x:c>
      <x:c r="B37" s="22" t="n">
        <x:v>0.5</x:v>
      </x:c>
      <x:c r="C37" s="22" t="str">
        <x:v>float</x:v>
      </x:c>
      <x:c r="D37" s="22" t="str">
        <x:v>user/profile input</x:v>
      </x:c>
    </x:row>
    <x:row r="38" ht="15" hidden="0" customHeight="1">
      <x:c r="A38" s="22" t="str">
        <x:v>adc.acquisition.safety_factor</x:v>
      </x:c>
      <x:c r="B38" s="22" t="n">
        <x:v>1.5</x:v>
      </x:c>
      <x:c r="C38" s="22" t="str">
        <x:v>float</x:v>
      </x:c>
      <x:c r="D38" s="22" t="str">
        <x:v>user/profile input</x:v>
      </x:c>
    </x:row>
    <x:row r="39" ht="15" hidden="0" customHeight="1">
      <x:c r="A39" s="22" t="str">
        <x:v>adc.acquisition.simplified_source_resistance_ohm</x:v>
      </x:c>
      <x:c r="B39" s="22" t="n">
        <x:v>100</x:v>
      </x:c>
      <x:c r="C39" s="22" t="str">
        <x:v>float</x:v>
      </x:c>
      <x:c r="D39" s="22" t="str">
        <x:v>user/profile input</x:v>
      </x:c>
    </x:row>
    <x:row r="40" ht="15" hidden="0" customHeight="1">
      <x:c r="A40" s="22" t="str">
        <x:v>adc.acquisition.simplified_total_capacitance_f</x:v>
      </x:c>
      <x:c r="B40" s="22" t="n">
        <x:v>3e-11</x:v>
      </x:c>
      <x:c r="C40" s="22" t="str">
        <x:v>float</x:v>
      </x:c>
      <x:c r="D40" s="22" t="str">
        <x:v>user/profile input</x:v>
      </x:c>
    </x:row>
    <x:row r="41" ht="15" hidden="0" customHeight="1">
      <x:c r="A41" s="22" t="str">
        <x:v>adc.acquisition.exact_sample_capacitance_f</x:v>
      </x:c>
      <x:c r="B41" s="22"/>
      <x:c r="C41" s="22" t="str">
        <x:v>NoneType</x:v>
      </x:c>
      <x:c r="D41" s="22" t="str">
        <x:v>user/profile input</x:v>
      </x:c>
    </x:row>
    <x:row r="42" ht="15" hidden="0" customHeight="1">
      <x:c r="A42" s="22" t="str">
        <x:v>adc.acquisition.exact_switch_resistance_ohm</x:v>
      </x:c>
      <x:c r="B42" s="22"/>
      <x:c r="C42" s="22" t="str">
        <x:v>NoneType</x:v>
      </x:c>
      <x:c r="D42" s="22" t="str">
        <x:v>user/profile input</x:v>
      </x:c>
    </x:row>
    <x:row r="43" ht="15" hidden="0" customHeight="1">
      <x:c r="A43" s="22" t="str">
        <x:v>adc.acquisition.exact_source_resistance_ohm</x:v>
      </x:c>
      <x:c r="B43" s="22"/>
      <x:c r="C43" s="22" t="str">
        <x:v>NoneType</x:v>
      </x:c>
      <x:c r="D43" s="22" t="str">
        <x:v>user/profile input</x:v>
      </x:c>
    </x:row>
    <x:row r="44" ht="15" hidden="0" customHeight="1">
      <x:c r="A44" s="22" t="str">
        <x:v>environment.temperature_min_c</x:v>
      </x:c>
      <x:c r="B44" s="22" t="n">
        <x:v>-40</x:v>
      </x:c>
      <x:c r="C44" s="22" t="str">
        <x:v>float</x:v>
      </x:c>
      <x:c r="D44" s="22" t="str">
        <x:v>user/profile input</x:v>
      </x:c>
    </x:row>
    <x:row r="45" ht="15" hidden="0" customHeight="1">
      <x:c r="A45" s="22" t="str">
        <x:v>environment.temperature_max_c</x:v>
      </x:c>
      <x:c r="B45" s="22" t="n">
        <x:v>125</x:v>
      </x:c>
      <x:c r="C45" s="22" t="str">
        <x:v>float</x:v>
      </x:c>
      <x:c r="D45" s="22" t="str">
        <x:v>user/profile input</x:v>
      </x:c>
    </x:row>
    <x:row r="46" ht="15" hidden="0" customHeight="1">
      <x:c r="A46" s="22" t="str">
        <x:v>environment.temperature_span_c</x:v>
      </x:c>
      <x:c r="B46" s="22" t="n">
        <x:v>165</x:v>
      </x:c>
      <x:c r="C46" s="22" t="str">
        <x:v>float</x:v>
      </x:c>
      <x:c r="D46" s="22" t="str">
        <x:v>user/profile input</x:v>
      </x:c>
    </x:row>
    <x:row r="47" ht="15" hidden="0" customHeight="1">
      <x:c r="A47" s="22" t="str">
        <x:v>channels.iac.range_margin</x:v>
      </x:c>
      <x:c r="B47" s="22" t="n">
        <x:v>1.2</x:v>
      </x:c>
      <x:c r="C47" s="22" t="str">
        <x:v>float</x:v>
      </x:c>
      <x:c r="D47" s="22" t="str">
        <x:v>user/profile input</x:v>
      </x:c>
    </x:row>
    <x:row r="48" ht="15" hidden="0" customHeight="1">
      <x:c r="A48" s="22" t="str">
        <x:v>channels.iac.accuracy_target_percent_fs</x:v>
      </x:c>
      <x:c r="B48" s="22" t="n">
        <x:v>0.5</x:v>
      </x:c>
      <x:c r="C48" s="22" t="str">
        <x:v>float</x:v>
      </x:c>
      <x:c r="D48" s="22" t="str">
        <x:v>user/profile input</x:v>
      </x:c>
    </x:row>
    <x:row r="49" ht="15" hidden="0" customHeight="1">
      <x:c r="A49" s="22" t="str">
        <x:v>channels.iac.adc_headroom_low_v</x:v>
      </x:c>
      <x:c r="B49" s="22" t="n">
        <x:v>0.2</x:v>
      </x:c>
      <x:c r="C49" s="22" t="str">
        <x:v>float</x:v>
      </x:c>
      <x:c r="D49" s="22" t="str">
        <x:v>user/profile input</x:v>
      </x:c>
    </x:row>
    <x:row r="50" ht="15" hidden="0" customHeight="1">
      <x:c r="A50" s="22" t="str">
        <x:v>channels.iac.adc_headroom_high_v</x:v>
      </x:c>
      <x:c r="B50" s="22" t="n">
        <x:v>0.2</x:v>
      </x:c>
      <x:c r="C50" s="22" t="str">
        <x:v>float</x:v>
      </x:c>
      <x:c r="D50" s="22" t="str">
        <x:v>user/profile input</x:v>
      </x:c>
    </x:row>
    <x:row r="51" ht="15" hidden="0" customHeight="1">
      <x:c r="A51" s="22" t="str">
        <x:v>channels.iac.hall.sensor_zero_output_v</x:v>
      </x:c>
      <x:c r="B51" s="22" t="n">
        <x:v>2.5</x:v>
      </x:c>
      <x:c r="C51" s="22" t="str">
        <x:v>float</x:v>
      </x:c>
      <x:c r="D51" s="22" t="str">
        <x:v>user/profile input</x:v>
      </x:c>
    </x:row>
    <x:row r="52" ht="15" hidden="0" customHeight="1">
      <x:c r="A52" s="22" t="str">
        <x:v>channels.iac.hall.sensor_sensitivity_v_per_a</x:v>
      </x:c>
      <x:c r="B52" s="22" t="n">
        <x:v>0.025</x:v>
      </x:c>
      <x:c r="C52" s="22" t="str">
        <x:v>float</x:v>
      </x:c>
      <x:c r="D52" s="22" t="str">
        <x:v>user/profile input</x:v>
      </x:c>
    </x:row>
    <x:row r="53" ht="15" hidden="0" customHeight="1">
      <x:c r="A53" s="22" t="str">
        <x:v>channels.iac.hall.front_end_gain</x:v>
      </x:c>
      <x:c r="B53" s="22" t="n">
        <x:v>0.584268</x:v>
      </x:c>
      <x:c r="C53" s="22" t="str">
        <x:v>float</x:v>
      </x:c>
      <x:c r="D53" s="22" t="str">
        <x:v>user/profile input</x:v>
      </x:c>
    </x:row>
    <x:row r="54" ht="15" hidden="0" customHeight="1">
      <x:c r="A54" s="22" t="str">
        <x:v>channels.iac.hall.sensor_bandwidth_hz</x:v>
      </x:c>
      <x:c r="B54" s="22" t="n">
        <x:v>1100000</x:v>
      </x:c>
      <x:c r="C54" s="22" t="str">
        <x:v>float</x:v>
      </x:c>
      <x:c r="D54" s="22" t="str">
        <x:v>user/profile input</x:v>
      </x:c>
    </x:row>
    <x:row r="55" ht="15" hidden="0" customHeight="1">
      <x:c r="A55" s="22" t="str">
        <x:v>channels.iac.filter.resistor_ohm</x:v>
      </x:c>
      <x:c r="B55" s="22" t="n">
        <x:v>100</x:v>
      </x:c>
      <x:c r="C55" s="22" t="str">
        <x:v>float</x:v>
      </x:c>
      <x:c r="D55" s="22" t="str">
        <x:v>user/profile input</x:v>
      </x:c>
    </x:row>
    <x:row r="56" ht="15" hidden="0" customHeight="1">
      <x:c r="A56" s="22" t="str">
        <x:v>channels.iac.filter.capacitor_f</x:v>
      </x:c>
      <x:c r="B56" s="22" t="n">
        <x:v>1e-8</x:v>
      </x:c>
      <x:c r="C56" s="22" t="str">
        <x:v>float</x:v>
      </x:c>
      <x:c r="D56" s="22" t="str">
        <x:v>user/profile input</x:v>
      </x:c>
    </x:row>
    <x:row r="57" ht="15" hidden="0" customHeight="1">
      <x:c r="A57" s="22" t="str">
        <x:v>channels.iac.delay.sensor_s</x:v>
      </x:c>
      <x:c r="B57" s="22" t="n">
        <x:v>5e-8</x:v>
      </x:c>
      <x:c r="C57" s="22" t="str">
        <x:v>float</x:v>
      </x:c>
      <x:c r="D57" s="22" t="str">
        <x:v>user/profile input</x:v>
      </x:c>
    </x:row>
    <x:row r="58" ht="15" hidden="0" customHeight="1">
      <x:c r="A58" s="22" t="str">
        <x:v>channels.iac.delay.isolation_s</x:v>
      </x:c>
      <x:c r="B58" s="22" t="n">
        <x:v>0</x:v>
      </x:c>
      <x:c r="C58" s="22" t="str">
        <x:v>float</x:v>
      </x:c>
      <x:c r="D58" s="22" t="str">
        <x:v>user/profile input</x:v>
      </x:c>
    </x:row>
    <x:row r="59" ht="15" hidden="0" customHeight="1">
      <x:c r="A59" s="22" t="str">
        <x:v>channels.iac.delay.adc_s</x:v>
      </x:c>
      <x:c r="B59" s="22"/>
      <x:c r="C59" s="22" t="str">
        <x:v>NoneType</x:v>
      </x:c>
      <x:c r="D59" s="22" t="str">
        <x:v>user/profile input</x:v>
      </x:c>
    </x:row>
    <x:row r="60" ht="15" hidden="0" customHeight="1">
      <x:c r="A60" s="22" t="str">
        <x:v>channels.iac.delay.isr_s</x:v>
      </x:c>
      <x:c r="B60" s="22"/>
      <x:c r="C60" s="22" t="str">
        <x:v>NoneType</x:v>
      </x:c>
      <x:c r="D60" s="22" t="str">
        <x:v>user/profile input</x:v>
      </x:c>
    </x:row>
    <x:row r="61" ht="15" hidden="0" customHeight="1">
      <x:c r="A61" s="22" t="str">
        <x:v>channels.iac.delay.pwm_s</x:v>
      </x:c>
      <x:c r="B61" s="22"/>
      <x:c r="C61" s="22" t="str">
        <x:v>NoneType</x:v>
      </x:c>
      <x:c r="D61" s="22" t="str">
        <x:v>user/profile input</x:v>
      </x:c>
    </x:row>
    <x:row r="62" ht="15" hidden="0" customHeight="1">
      <x:c r="A62" s="22" t="str">
        <x:v>channels.iac.error_sources</x:v>
      </x:c>
      <x:c r="B62" s="22" t="str">
        <x:v>[]</x:v>
      </x:c>
      <x:c r="C62" s="22" t="str">
        <x:v>list</x:v>
      </x:c>
      <x:c r="D62" s="22" t="str">
        <x:v>user/profile input</x:v>
      </x:c>
    </x:row>
    <x:row r="63" ht="15" hidden="0" customHeight="1">
      <x:c r="A63" s="22" t="str">
        <x:v>channels.idc.range_margin</x:v>
      </x:c>
      <x:c r="B63" s="22" t="n">
        <x:v>1.2</x:v>
      </x:c>
      <x:c r="C63" s="22" t="str">
        <x:v>float</x:v>
      </x:c>
      <x:c r="D63" s="22" t="str">
        <x:v>user/profile input</x:v>
      </x:c>
    </x:row>
    <x:row r="64" ht="15" hidden="0" customHeight="1">
      <x:c r="A64" s="22" t="str">
        <x:v>channels.idc.accuracy_target_percent_fs</x:v>
      </x:c>
      <x:c r="B64" s="22" t="n">
        <x:v>0.5</x:v>
      </x:c>
      <x:c r="C64" s="22" t="str">
        <x:v>float</x:v>
      </x:c>
      <x:c r="D64" s="22" t="str">
        <x:v>user/profile input</x:v>
      </x:c>
    </x:row>
    <x:row r="65" ht="15" hidden="0" customHeight="1">
      <x:c r="A65" s="22" t="str">
        <x:v>channels.idc.adc_headroom_low_v</x:v>
      </x:c>
      <x:c r="B65" s="22" t="n">
        <x:v>0.2</x:v>
      </x:c>
      <x:c r="C65" s="22" t="str">
        <x:v>float</x:v>
      </x:c>
      <x:c r="D65" s="22" t="str">
        <x:v>user/profile input</x:v>
      </x:c>
    </x:row>
    <x:row r="66" ht="15" hidden="0" customHeight="1">
      <x:c r="A66" s="22" t="str">
        <x:v>channels.idc.adc_headroom_high_v</x:v>
      </x:c>
      <x:c r="B66" s="22" t="n">
        <x:v>0.2</x:v>
      </x:c>
      <x:c r="C66" s="22" t="str">
        <x:v>float</x:v>
      </x:c>
      <x:c r="D66" s="22" t="str">
        <x:v>user/profile input</x:v>
      </x:c>
    </x:row>
    <x:row r="67" ht="15" hidden="0" customHeight="1">
      <x:c r="A67" s="22" t="str">
        <x:v>channels.idc.shunt.resistance_ohm</x:v>
      </x:c>
      <x:c r="B67" s="22" t="n">
        <x:v>0.001</x:v>
      </x:c>
      <x:c r="C67" s="22" t="str">
        <x:v>float</x:v>
      </x:c>
      <x:c r="D67" s="22" t="str">
        <x:v>user/profile input</x:v>
      </x:c>
    </x:row>
    <x:row r="68" ht="15" hidden="0" customHeight="1">
      <x:c r="A68" s="22" t="str">
        <x:v>channels.idc.amplifier.input_clip_v</x:v>
      </x:c>
      <x:c r="B68" s="22" t="n">
        <x:v>0.064</x:v>
      </x:c>
      <x:c r="C68" s="22" t="str">
        <x:v>float</x:v>
      </x:c>
      <x:c r="D68" s="22" t="str">
        <x:v>user/profile input</x:v>
      </x:c>
    </x:row>
    <x:row r="69" ht="15" hidden="0" customHeight="1">
      <x:c r="A69" s="22" t="str">
        <x:v>channels.idc.amplifier.reference_voltage_v</x:v>
      </x:c>
      <x:c r="B69" s="22" t="n">
        <x:v>3.3</x:v>
      </x:c>
      <x:c r="C69" s="22" t="str">
        <x:v>float</x:v>
      </x:c>
      <x:c r="D69" s="22" t="str">
        <x:v>user/profile input</x:v>
      </x:c>
    </x:row>
    <x:row r="70" ht="15" hidden="0" customHeight="1">
      <x:c r="A70" s="22" t="str">
        <x:v>channels.idc.amplifier.input_range_utilization</x:v>
      </x:c>
      <x:c r="B70" s="22" t="n">
        <x:v>0.8</x:v>
      </x:c>
      <x:c r="C70" s="22" t="str">
        <x:v>float</x:v>
      </x:c>
      <x:c r="D70" s="22" t="str">
        <x:v>user/profile input</x:v>
      </x:c>
    </x:row>
    <x:row r="71" ht="15" hidden="0" customHeight="1">
      <x:c r="A71" s="22" t="str">
        <x:v>channels.idc.amplifier.input_offset_v</x:v>
      </x:c>
      <x:c r="B71" s="22"/>
      <x:c r="C71" s="22" t="str">
        <x:v>NoneType</x:v>
      </x:c>
      <x:c r="D71" s="22" t="str">
        <x:v>user/profile input</x:v>
      </x:c>
    </x:row>
    <x:row r="72" ht="15" hidden="0" customHeight="1">
      <x:c r="A72" s="22" t="str">
        <x:v>channels.idc.amplifier.bandwidth_hz</x:v>
      </x:c>
      <x:c r="B72" s="22" t="n">
        <x:v>295000</x:v>
      </x:c>
      <x:c r="C72" s="22" t="str">
        <x:v>float</x:v>
      </x:c>
      <x:c r="D72" s="22" t="str">
        <x:v>user/profile input</x:v>
      </x:c>
    </x:row>
    <x:row r="73" ht="15" hidden="0" customHeight="1">
      <x:c r="A73" s="22" t="str">
        <x:v>channels.idc.filter.resistor_ohm</x:v>
      </x:c>
      <x:c r="B73" s="22" t="n">
        <x:v>499</x:v>
      </x:c>
      <x:c r="C73" s="22" t="str">
        <x:v>float</x:v>
      </x:c>
      <x:c r="D73" s="22" t="str">
        <x:v>user/profile input</x:v>
      </x:c>
    </x:row>
    <x:row r="74" ht="15" hidden="0" customHeight="1">
      <x:c r="A74" s="22" t="str">
        <x:v>channels.idc.filter.capacitor_f</x:v>
      </x:c>
      <x:c r="B74" s="22" t="n">
        <x:v>4.7e-8</x:v>
      </x:c>
      <x:c r="C74" s="22" t="str">
        <x:v>float</x:v>
      </x:c>
      <x:c r="D74" s="22" t="str">
        <x:v>user/profile input</x:v>
      </x:c>
    </x:row>
    <x:row r="75" ht="15" hidden="0" customHeight="1">
      <x:c r="A75" s="22" t="str">
        <x:v>channels.idc.delay.sensor_s</x:v>
      </x:c>
      <x:c r="B75" s="22" t="n">
        <x:v>0</x:v>
      </x:c>
      <x:c r="C75" s="22" t="str">
        <x:v>float</x:v>
      </x:c>
      <x:c r="D75" s="22" t="str">
        <x:v>user/profile input</x:v>
      </x:c>
    </x:row>
    <x:row r="76" ht="15" hidden="0" customHeight="1">
      <x:c r="A76" s="22" t="str">
        <x:v>channels.idc.delay.isolation_s</x:v>
      </x:c>
      <x:c r="B76" s="22"/>
      <x:c r="C76" s="22" t="str">
        <x:v>NoneType</x:v>
      </x:c>
      <x:c r="D76" s="22" t="str">
        <x:v>user/profile input</x:v>
      </x:c>
    </x:row>
    <x:row r="77" ht="15" hidden="0" customHeight="1">
      <x:c r="A77" s="22" t="str">
        <x:v>channels.idc.delay.adc_s</x:v>
      </x:c>
      <x:c r="B77" s="22"/>
      <x:c r="C77" s="22" t="str">
        <x:v>NoneType</x:v>
      </x:c>
      <x:c r="D77" s="22" t="str">
        <x:v>user/profile input</x:v>
      </x:c>
    </x:row>
    <x:row r="78" ht="15" hidden="0" customHeight="1">
      <x:c r="A78" s="22" t="str">
        <x:v>channels.idc.delay.isr_s</x:v>
      </x:c>
      <x:c r="B78" s="22"/>
      <x:c r="C78" s="22" t="str">
        <x:v>NoneType</x:v>
      </x:c>
      <x:c r="D78" s="22" t="str">
        <x:v>user/profile input</x:v>
      </x:c>
    </x:row>
    <x:row r="79" ht="15" hidden="0" customHeight="1">
      <x:c r="A79" s="22" t="str">
        <x:v>channels.idc.delay.pwm_s</x:v>
      </x:c>
      <x:c r="B79" s="22"/>
      <x:c r="C79" s="22" t="str">
        <x:v>NoneType</x:v>
      </x:c>
      <x:c r="D79" s="22" t="str">
        <x:v>user/profile input</x:v>
      </x:c>
    </x:row>
    <x:row r="80" ht="15" hidden="0" customHeight="1">
      <x:c r="A80" s="22" t="str">
        <x:v>channels.idc.error_sources</x:v>
      </x:c>
      <x:c r="B80" s="22" t="str">
        <x:v>[]</x:v>
      </x:c>
      <x:c r="C80" s="22" t="str">
        <x:v>list</x:v>
      </x:c>
      <x:c r="D80" s="22" t="str">
        <x:v>user/profile input</x:v>
      </x:c>
    </x:row>
    <x:row r="81" ht="15" hidden="0" customHeight="1">
      <x:c r="A81" s="22" t="str">
        <x:v>channels.vac.range_margin</x:v>
      </x:c>
      <x:c r="B81" s="22" t="n">
        <x:v>1.15</x:v>
      </x:c>
      <x:c r="C81" s="22" t="str">
        <x:v>float</x:v>
      </x:c>
      <x:c r="D81" s="22" t="str">
        <x:v>user/profile input</x:v>
      </x:c>
    </x:row>
    <x:row r="82" ht="15" hidden="0" customHeight="1">
      <x:c r="A82" s="22" t="str">
        <x:v>channels.vac.accuracy_target_percent_fs</x:v>
      </x:c>
      <x:c r="B82" s="22" t="n">
        <x:v>0.5</x:v>
      </x:c>
      <x:c r="C82" s="22" t="str">
        <x:v>float</x:v>
      </x:c>
      <x:c r="D82" s="22" t="str">
        <x:v>user/profile input</x:v>
      </x:c>
    </x:row>
    <x:row r="83" ht="15" hidden="0" customHeight="1">
      <x:c r="A83" s="22" t="str">
        <x:v>channels.vac.divider.high_side_total_ohm</x:v>
      </x:c>
      <x:c r="B83" s="22" t="n">
        <x:v>990000</x:v>
      </x:c>
      <x:c r="C83" s="22" t="str">
        <x:v>float</x:v>
      </x:c>
      <x:c r="D83" s="22" t="str">
        <x:v>user/profile input</x:v>
      </x:c>
    </x:row>
    <x:row r="84" ht="15" hidden="0" customHeight="1">
      <x:c r="A84" s="22" t="str">
        <x:v>channels.vac.divider.low_side_ohm</x:v>
      </x:c>
      <x:c r="B84" s="22" t="n">
        <x:v>3300</x:v>
      </x:c>
      <x:c r="C84" s="22" t="str">
        <x:v>float</x:v>
      </x:c>
      <x:c r="D84" s="22" t="str">
        <x:v>user/profile input</x:v>
      </x:c>
    </x:row>
    <x:row r="85" ht="15" hidden="0" customHeight="1">
      <x:c r="A85" s="22" t="str">
        <x:v>channels.vac.isolation.gain_v_per_v</x:v>
      </x:c>
      <x:c r="B85" s="22" t="n">
        <x:v>1</x:v>
      </x:c>
      <x:c r="C85" s="22" t="str">
        <x:v>float</x:v>
      </x:c>
      <x:c r="D85" s="22" t="str">
        <x:v>user/profile input</x:v>
      </x:c>
    </x:row>
    <x:row r="86" ht="15" hidden="0" customHeight="1">
      <x:c r="A86" s="22" t="str">
        <x:v>channels.vac.isolation.reference_voltage_v</x:v>
      </x:c>
      <x:c r="B86" s="22" t="n">
        <x:v>1.65</x:v>
      </x:c>
      <x:c r="C86" s="22" t="str">
        <x:v>float</x:v>
      </x:c>
      <x:c r="D86" s="22" t="str">
        <x:v>user/profile input</x:v>
      </x:c>
    </x:row>
    <x:row r="87" ht="15" hidden="0" customHeight="1">
      <x:c r="A87" s="22" t="str">
        <x:v>channels.vac.isolation.linear_input_abs_max_v</x:v>
      </x:c>
      <x:c r="B87" s="22" t="n">
        <x:v>1</x:v>
      </x:c>
      <x:c r="C87" s="22" t="str">
        <x:v>float</x:v>
      </x:c>
      <x:c r="D87" s="22" t="str">
        <x:v>user/profile input</x:v>
      </x:c>
    </x:row>
    <x:row r="88" ht="15" hidden="0" customHeight="1">
      <x:c r="A88" s="22" t="str">
        <x:v>channels.vac.isolation.input_range_utilization</x:v>
      </x:c>
      <x:c r="B88" s="22" t="n">
        <x:v>0.9</x:v>
      </x:c>
      <x:c r="C88" s="22" t="str">
        <x:v>float</x:v>
      </x:c>
      <x:c r="D88" s="22" t="str">
        <x:v>user/profile input</x:v>
      </x:c>
    </x:row>
    <x:row r="89" ht="15" hidden="0" customHeight="1">
      <x:c r="A89" s="22" t="str">
        <x:v>channels.vac.isolation.bandwidth_hz</x:v>
      </x:c>
      <x:c r="B89" s="22" t="n">
        <x:v>145000</x:v>
      </x:c>
      <x:c r="C89" s="22" t="str">
        <x:v>float</x:v>
      </x:c>
      <x:c r="D89" s="22" t="str">
        <x:v>user/profile input</x:v>
      </x:c>
    </x:row>
    <x:row r="90" ht="15" hidden="0" customHeight="1">
      <x:c r="A90" s="22" t="str">
        <x:v>channels.vac.filter.resistor_ohm</x:v>
      </x:c>
      <x:c r="B90" s="22" t="n">
        <x:v>100</x:v>
      </x:c>
      <x:c r="C90" s="22" t="str">
        <x:v>float</x:v>
      </x:c>
      <x:c r="D90" s="22" t="str">
        <x:v>user/profile input</x:v>
      </x:c>
    </x:row>
    <x:row r="91" ht="15" hidden="0" customHeight="1">
      <x:c r="A91" s="22" t="str">
        <x:v>channels.vac.filter.capacitor_f</x:v>
      </x:c>
      <x:c r="B91" s="22" t="n">
        <x:v>4.7e-9</x:v>
      </x:c>
      <x:c r="C91" s="22" t="str">
        <x:v>float</x:v>
      </x:c>
      <x:c r="D91" s="22" t="str">
        <x:v>user/profile input</x:v>
      </x:c>
    </x:row>
    <x:row r="92" ht="15" hidden="0" customHeight="1">
      <x:c r="A92" s="22" t="str">
        <x:v>channels.vac.delay.sensor_s</x:v>
      </x:c>
      <x:c r="B92" s="22" t="n">
        <x:v>0</x:v>
      </x:c>
      <x:c r="C92" s="22" t="str">
        <x:v>float</x:v>
      </x:c>
      <x:c r="D92" s="22" t="str">
        <x:v>user/profile input</x:v>
      </x:c>
    </x:row>
    <x:row r="93" ht="15" hidden="0" customHeight="1">
      <x:c r="A93" s="22" t="str">
        <x:v>channels.vac.delay.isolation_s</x:v>
      </x:c>
      <x:c r="B93" s="22" t="n">
        <x:v>0.0000029</x:v>
      </x:c>
      <x:c r="C93" s="22" t="str">
        <x:v>float</x:v>
      </x:c>
      <x:c r="D93" s="22" t="str">
        <x:v>user/profile input</x:v>
      </x:c>
    </x:row>
    <x:row r="94" ht="15" hidden="0" customHeight="1">
      <x:c r="A94" s="22" t="str">
        <x:v>channels.vac.delay.adc_s</x:v>
      </x:c>
      <x:c r="B94" s="22"/>
      <x:c r="C94" s="22" t="str">
        <x:v>NoneType</x:v>
      </x:c>
      <x:c r="D94" s="22" t="str">
        <x:v>user/profile input</x:v>
      </x:c>
    </x:row>
    <x:row r="95" ht="15" hidden="0" customHeight="1">
      <x:c r="A95" s="22" t="str">
        <x:v>channels.vac.delay.isr_s</x:v>
      </x:c>
      <x:c r="B95" s="22"/>
      <x:c r="C95" s="22" t="str">
        <x:v>NoneType</x:v>
      </x:c>
      <x:c r="D95" s="22" t="str">
        <x:v>user/profile input</x:v>
      </x:c>
    </x:row>
    <x:row r="96" ht="15" hidden="0" customHeight="1">
      <x:c r="A96" s="22" t="str">
        <x:v>channels.vac.delay.pwm_s</x:v>
      </x:c>
      <x:c r="B96" s="22"/>
      <x:c r="C96" s="22" t="str">
        <x:v>NoneType</x:v>
      </x:c>
      <x:c r="D96" s="22" t="str">
        <x:v>user/profile input</x:v>
      </x:c>
    </x:row>
    <x:row r="97" ht="15" hidden="0" customHeight="1">
      <x:c r="A97" s="22" t="str">
        <x:v>channels.vac.error_sources</x:v>
      </x:c>
      <x:c r="B97" s="22" t="str">
        <x:v>[]</x:v>
      </x:c>
      <x:c r="C97" s="22" t="str">
        <x:v>list</x:v>
      </x:c>
      <x:c r="D97" s="22" t="str">
        <x:v>user/profile input</x:v>
      </x:c>
    </x:row>
    <x:row r="98" ht="15" hidden="0" customHeight="1">
      <x:c r="A98" s="22" t="str">
        <x:v>channels.vdc.range_margin</x:v>
      </x:c>
      <x:c r="B98" s="22" t="n">
        <x:v>1.15</x:v>
      </x:c>
      <x:c r="C98" s="22" t="str">
        <x:v>float</x:v>
      </x:c>
      <x:c r="D98" s="22" t="str">
        <x:v>user/profile input</x:v>
      </x:c>
    </x:row>
    <x:row r="99" ht="15" hidden="0" customHeight="1">
      <x:c r="A99" s="22" t="str">
        <x:v>channels.vdc.accuracy_target_percent_fs</x:v>
      </x:c>
      <x:c r="B99" s="22" t="n">
        <x:v>0.5</x:v>
      </x:c>
      <x:c r="C99" s="22" t="str">
        <x:v>float</x:v>
      </x:c>
      <x:c r="D99" s="22" t="str">
        <x:v>user/profile input</x:v>
      </x:c>
    </x:row>
    <x:row r="100" ht="15" hidden="0" customHeight="1">
      <x:c r="A100" s="22" t="str">
        <x:v>channels.vdc.architecture</x:v>
      </x:c>
      <x:c r="B100" s="22" t="str">
        <x:v>direct_hv</x:v>
      </x:c>
      <x:c r="C100" s="22" t="str">
        <x:v>str</x:v>
      </x:c>
      <x:c r="D100" s="22" t="str">
        <x:v>user/profile input</x:v>
      </x:c>
    </x:row>
    <x:row r="101" ht="15" hidden="0" customHeight="1">
      <x:c r="A101" s="22" t="str">
        <x:v>channels.vdc.direct_hv.high_voltage_clip_v</x:v>
      </x:c>
      <x:c r="B101" s="22" t="n">
        <x:v>1281</x:v>
      </x:c>
      <x:c r="C101" s="22" t="str">
        <x:v>float</x:v>
      </x:c>
      <x:c r="D101" s="22" t="str">
        <x:v>user/profile input</x:v>
      </x:c>
    </x:row>
    <x:row r="102" ht="15" hidden="0" customHeight="1">
      <x:c r="A102" s="22" t="str">
        <x:v>channels.vdc.direct_hv.reference_voltage_v</x:v>
      </x:c>
      <x:c r="B102" s="22" t="n">
        <x:v>3.3</x:v>
      </x:c>
      <x:c r="C102" s="22" t="str">
        <x:v>float</x:v>
      </x:c>
      <x:c r="D102" s="22" t="str">
        <x:v>user/profile input</x:v>
      </x:c>
    </x:row>
    <x:row r="103" ht="15" hidden="0" customHeight="1">
      <x:c r="A103" s="22" t="str">
        <x:v>channels.vdc.direct_hv.bandwidth_hz</x:v>
      </x:c>
      <x:c r="B103" s="22"/>
      <x:c r="C103" s="22" t="str">
        <x:v>NoneType</x:v>
      </x:c>
      <x:c r="D103" s="22" t="str">
        <x:v>user/profile input</x:v>
      </x:c>
    </x:row>
    <x:row r="104" ht="15" hidden="0" customHeight="1">
      <x:c r="A104" s="22" t="str">
        <x:v>channels.vdc.filter.resistor_ohm</x:v>
      </x:c>
      <x:c r="B104" s="22" t="n">
        <x:v>499</x:v>
      </x:c>
      <x:c r="C104" s="22" t="str">
        <x:v>float</x:v>
      </x:c>
      <x:c r="D104" s="22" t="str">
        <x:v>user/profile input</x:v>
      </x:c>
    </x:row>
    <x:row r="105" ht="15" hidden="0" customHeight="1">
      <x:c r="A105" s="22" t="str">
        <x:v>channels.vdc.filter.capacitor_f</x:v>
      </x:c>
      <x:c r="B105" s="22" t="n">
        <x:v>4.7e-8</x:v>
      </x:c>
      <x:c r="C105" s="22" t="str">
        <x:v>float</x:v>
      </x:c>
      <x:c r="D105" s="22" t="str">
        <x:v>user/profile input</x:v>
      </x:c>
    </x:row>
    <x:row r="106" ht="15" hidden="0" customHeight="1">
      <x:c r="A106" s="22" t="str">
        <x:v>channels.vdc.delay.sensor_s</x:v>
      </x:c>
      <x:c r="B106" s="22"/>
      <x:c r="C106" s="22" t="str">
        <x:v>NoneType</x:v>
      </x:c>
      <x:c r="D106" s="22" t="str">
        <x:v>user/profile input</x:v>
      </x:c>
    </x:row>
    <x:row r="107" ht="15" hidden="0" customHeight="1">
      <x:c r="A107" s="22" t="str">
        <x:v>channels.vdc.delay.isolation_s</x:v>
      </x:c>
      <x:c r="B107" s="22"/>
      <x:c r="C107" s="22" t="str">
        <x:v>NoneType</x:v>
      </x:c>
      <x:c r="D107" s="22" t="str">
        <x:v>user/profile input</x:v>
      </x:c>
    </x:row>
    <x:row r="108" ht="15" hidden="0" customHeight="1">
      <x:c r="A108" s="22" t="str">
        <x:v>channels.vdc.delay.adc_s</x:v>
      </x:c>
      <x:c r="B108" s="22"/>
      <x:c r="C108" s="22" t="str">
        <x:v>NoneType</x:v>
      </x:c>
      <x:c r="D108" s="22" t="str">
        <x:v>user/profile input</x:v>
      </x:c>
    </x:row>
    <x:row r="109" ht="15" hidden="0" customHeight="1">
      <x:c r="A109" s="22" t="str">
        <x:v>channels.vdc.delay.isr_s</x:v>
      </x:c>
      <x:c r="B109" s="22"/>
      <x:c r="C109" s="22" t="str">
        <x:v>NoneType</x:v>
      </x:c>
      <x:c r="D109" s="22" t="str">
        <x:v>user/profile input</x:v>
      </x:c>
    </x:row>
    <x:row r="110" ht="15" hidden="0" customHeight="1">
      <x:c r="A110" s="22" t="str">
        <x:v>channels.vdc.delay.pwm_s</x:v>
      </x:c>
      <x:c r="B110" s="22"/>
      <x:c r="C110" s="22" t="str">
        <x:v>NoneType</x:v>
      </x:c>
      <x:c r="D110" s="22" t="str">
        <x:v>user/profile input</x:v>
      </x:c>
    </x:row>
    <x:row r="111" ht="15" hidden="0" customHeight="1">
      <x:c r="A111" s="22" t="str">
        <x:v>channels.vdc.error_sources</x:v>
      </x:c>
      <x:c r="B111" s="22" t="str">
        <x:v>[]</x:v>
      </x:c>
      <x:c r="C111" s="22" t="str">
        <x:v>list</x:v>
      </x:c>
      <x:c r="D111" s="22" t="str">
        <x:v>user/profile input</x:v>
      </x:c>
    </x:row>
    <x:row r="112" ht="607.2000122070312" hidden="0" customHeight="1">
      <x:c r="A112" s="22" t="str">
        <x:v>assumptions</x:v>
      </x:c>
      <x:c r="B112" s="22" t="str">
        <x:v>[{'topic': 'System power', 'value': '2.5 kW', 'source_type': 'project context', 'qualification': 'Confirm continuous and overload power for the actual test article.'}, {'topic': 'AC input range', 'value': '180–265 Vrms', 'source_type': 'PMP23607 Rev. E2 schematic', 'qualification': 'Observed hardware range.'}, {'topic': 'DC operating range', 'value': '370–420 V', 'source_type': 'legacy software macros', 'qualification': 'Provisional; confirm PMP23607 battery/output specification.'}, {'topic': 'Control bandwidths', 'value': 'IAC 3 kHz; IDC 2 kHz; VDC 20 Hz; PLL 30 Hz', 'source_type': 'engineering default', 'qualification': 'Provisional; replace with measured plant/controller targets.'}, {'topic': 'Phase budgets', 'value': 'IAC/IDC 15 deg; VDC/VAC PLL 5 deg; line VAC 0.5 deg', 'source_type': 'engineering default', 'qualification': 'User-confirmed MVP defaults.'}, {'topic': 'F29H85x internal ADC model', 'value': 'Not populated', 'source_type': 'missing authoritative parameter', 'qualification': 'Exact acquisition model remains NOT_EVALUATED until data-sheet/model values are entered.'}, {'topic': 'Component error budgets', 'value': 'Empty by default', 'source_type': 'fail-closed design rule', 'qualification': 'Enter exact maximum errors and drift before design release.'}]</x:v>
      </x:c>
      <x:c r="C112" s="22" t="str">
        <x:v>list</x:v>
      </x:c>
      <x:c r="D112" s="22" t="str">
        <x:v>user/profile input</x:v>
      </x:c>
    </x:row>
  </x:sheetData>
  <x:pageMargins left="0.7" right="0.7" top="0.75" bottom="0.75" header="0.3" footer="0.3"/>
  <x:tableParts count="1">
    <x:tablePart xmlns:r="http://schemas.openxmlformats.org/officeDocument/2006/relationships" r:id="Rfc4085c6b8a745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phase_count</x:v>
      </x:c>
      <x:c r="B2" s="22" t="str">
        <x:v>AC phase count</x:v>
      </x:c>
      <x:c r="C2" s="22" t="n">
        <x:v>1</x:v>
      </x:c>
      <x:c r="D2" s="22" t="str">
        <x:v>phase</x:v>
      </x:c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ac_voltage_basis</x:v>
      </x:c>
      <x:c r="B3" s="22" t="str">
        <x:v>AC voltage basis</x:v>
      </x:c>
      <x:c r="C3" s="22" t="str">
        <x:v>single_phase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15" hidden="0" customHeight="1">
      <x:c r="A4" s="22" t="str">
        <x:v>phase_unbalance_factor</x:v>
      </x:c>
      <x:c r="B4" s="22" t="str">
        <x:v>Phase unbalance design factor</x:v>
      </x:c>
      <x:c r="C4" s="22" t="n">
        <x:v>1</x:v>
      </x:c>
      <x:c r="D4" s="22" t="str">
        <x:v>pu</x:v>
      </x:c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26.399999618530273" hidden="0" customHeight="1">
      <x:c r="A5" s="22" t="str">
        <x:v>iac_rms_max_a</x:v>
      </x:c>
      <x:c r="B5" s="22" t="str">
        <x:v>Maximum per-line/per-phase AC RMS current</x:v>
      </x:c>
      <x:c r="C5" s="22" t="n">
        <x:v>14.76755862720775</x:v>
      </x:c>
      <x:c r="D5" s="22" t="str">
        <x:v>A</x:v>
      </x:c>
      <x:c r="E5" s="22" t="str">
        <x:v>Ppeak/(Vac_min*eta*PF)</x:v>
      </x:c>
      <x:c r="F5" s="22" t="str">
        <x:v>peak_power=2500.0, vac_min=180.0, efficiency=0.95, pf=0.99, unbalance=1.0</x:v>
      </x:c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iac_peak_a</x:v>
      </x:c>
      <x:c r="B6" s="22" t="str">
        <x:v>Maximum per-phase AC peak current</x:v>
      </x:c>
      <x:c r="C6" s="22" t="n">
        <x:v>20.884481693737005</x:v>
      </x:c>
      <x:c r="D6" s="22" t="str">
        <x:v>A</x:v>
      </x:c>
      <x:c r="E6" s="22" t="str">
        <x:v>sqrt(2)*Iac_rms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iac_design_peak_a</x:v>
      </x:c>
      <x:c r="B7" s="22" t="str">
        <x:v>Bidirectional per-phase IAC design peak</x:v>
      </x:c>
      <x:c r="C7" s="22" t="n">
        <x:v>27.56751583573285</x:v>
      </x:c>
      <x:c r="D7" s="22" t="str">
        <x:v>A</x:v>
      </x:c>
      <x:c r="E7" s="22" t="str">
        <x:v>Iac_peak*Koverload*Kmargin</x:v>
      </x:c>
      <x:c r="F7" s="22" t="str">
        <x:v>overload=1.1, iac_margin=1.2</x:v>
      </x:c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idc_continuous_max_a</x:v>
      </x:c>
      <x:c r="B8" s="22" t="str">
        <x:v>Maximum DC continuous current</x:v>
      </x:c>
      <x:c r="C8" s="22" t="n">
        <x:v>7.112375533428165</x:v>
      </x:c>
      <x:c r="D8" s="22" t="str">
        <x:v>A</x:v>
      </x:c>
      <x:c r="E8" s="22" t="str">
        <x:v>Ppeak/(Vdc_min*eta)</x:v>
      </x:c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idc_design_peak_a</x:v>
      </x:c>
      <x:c r="B9" s="22" t="str">
        <x:v>Bidirectional IDC design peak</x:v>
      </x:c>
      <x:c r="C9" s="22" t="n">
        <x:v>9.38833570412518</x:v>
      </x:c>
      <x:c r="D9" s="22" t="str">
        <x:v>A</x:v>
      </x:c>
      <x:c r="E9" s="22" t="str">
        <x:v>Idc_cont*Koverload*Kmargin</x:v>
      </x:c>
      <x:c r="F9" s="22" t="str">
        <x:v>overload=1.1, idc_margin=1.2</x:v>
      </x:c>
      <x:c r="G9" s="22" t="str">
        <x:v>calculated</x:v>
      </x:c>
      <x:c r="H9" s="22" t="str">
        <x:v>PASS</x:v>
      </x:c>
      <x:c r="I9" s="22" t="str"/>
    </x:row>
  </x:sheetData>
  <x:conditionalFormatting sqref="H2:H9">
    <x:cfRule type="expression" dxfId="4" priority="1">
      <x:formula>H2="PASS"</x:formula>
    </x:cfRule>
    <x:cfRule type="expression" dxfId="5" priority="2">
      <x:formula>H2="WARNING"</x:formula>
    </x:cfRule>
    <x:cfRule type="expression" dxfId="6" priority="3">
      <x:formula>H2="FAIL"</x:formula>
    </x:cfRule>
    <x:cfRule type="expression" dxfId="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2e79528ca545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phase_mode</x:v>
      </x:c>
      <x:c r="B2" s="22" t="str">
        <x:v>Phase-channel model</x:v>
      </x:c>
      <x:c r="C2" s="22" t="str">
        <x:v>single_phase</x:v>
      </x:c>
      <x:c r="D2" s="22" t="str"/>
      <x:c r="E2" s="22" t="str"/>
      <x:c r="F2" s="22" t="str"/>
      <x:c r="G2" s="22" t="str">
        <x:v>calculated</x:v>
      </x:c>
      <x:c r="H2" s="22" t="str">
        <x:v>PASS</x:v>
      </x:c>
      <x:c r="I2" s="22" t="str"/>
    </x:row>
  </x:sheetData>
  <x:conditionalFormatting sqref="H2:H2">
    <x:cfRule type="expression" dxfId="8" priority="1">
      <x:formula>H2="PASS"</x:formula>
    </x:cfRule>
    <x:cfRule type="expression" dxfId="9" priority="2">
      <x:formula>H2="WARNING"</x:formula>
    </x:cfRule>
    <x:cfRule type="expression" dxfId="10" priority="3">
      <x:formula>H2="FAIL"</x:formula>
    </x:cfRule>
    <x:cfRule type="expression" dxfId="1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739b5e04364c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design_current_a</x:v>
      </x:c>
      <x:c r="B2" s="22" t="str">
        <x:v>Required bidirectional peak current</x:v>
      </x:c>
      <x:c r="C2" s="22" t="n">
        <x:v>27.56751583573285</x:v>
      </x:c>
      <x:c r="D2" s="22" t="str">
        <x:v>A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effective_sensitivity_v_per_a</x:v>
      </x:c>
      <x:c r="B3" s="22" t="str">
        <x:v>Effective ADC sensitivity</x:v>
      </x:c>
      <x:c r="C3" s="22" t="n">
        <x:v>0.0146067</x:v>
      </x:c>
      <x:c r="D3" s="22" t="str">
        <x:v>V/A</x:v>
      </x:c>
      <x:c r="E3" s="22" t="str">
        <x:v>Sensor sensitivity*front-end gain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maximum_sensitivity_v_per_a</x:v>
      </x:c>
      <x:c r="B4" s="22" t="str">
        <x:v>Maximum permissible ADC sensitivity</x:v>
      </x:c>
      <x:c r="C4" s="22" t="n">
        <x:v>0.04573027208951222</x:v>
      </x:c>
      <x:c r="D4" s="22" t="str">
        <x:v>V/A</x:v>
      </x:c>
      <x:c r="E4" s="22" t="str">
        <x:v>min((Vzero-Vmin)/Imax,(Vmax-Vzero)/Imax)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maximum_front_end_gain</x:v>
      </x:c>
      <x:c r="B5" s="22" t="str">
        <x:v>Maximum permissible front-end gain</x:v>
      </x:c>
      <x:c r="C5" s="22" t="n">
        <x:v>1.8292108835804888</x:v>
      </x:c>
      <x:c r="D5" s="22" t="str">
        <x:v>V/V</x:v>
      </x:c>
      <x:c r="E5" s="22" t="str">
        <x:v>Seff_max/Ssensor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zero_adc_v</x:v>
      </x:c>
      <x:c r="B6" s="22" t="str">
        <x:v>ADC zero-current voltage</x:v>
      </x:c>
      <x:c r="C6" s="22" t="n">
        <x:v>1.46067</x:v>
      </x:c>
      <x:c r="D6" s="22" t="str">
        <x:v>V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zero_adc_code</x:v>
      </x:c>
      <x:c r="B7" s="22" t="str">
        <x:v>ADC zero-current code</x:v>
      </x:c>
      <x:c r="C7" s="22" t="n">
        <x:v>1994.30144</x:v>
      </x:c>
      <x:c r="D7" s="22" t="str">
        <x:v>code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1.0579995664422008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1.863340433557799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adc_min_code</x:v>
      </x:c>
      <x:c r="B10" s="22" t="str">
        <x:v>ADC code at negative design current</x:v>
      </x:c>
      <x:c r="C10" s="22" t="n">
        <x:v>1444.5220747157516</x:v>
      </x:c>
      <x:c r="D10" s="22" t="str">
        <x:v>code</x:v>
      </x:c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adc_max_code</x:v>
      </x:c>
      <x:c r="B11" s="22" t="str">
        <x:v>ADC code at positive design current</x:v>
      </x:c>
      <x:c r="C11" s="22" t="n">
        <x:v>2544.080805284248</x:v>
      </x:c>
      <x:c r="D11" s="22" t="str">
        <x:v>code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current_per_code_a</x:v>
      </x:c>
      <x:c r="B12" s="22" t="str">
        <x:v>Current resolution</x:v>
      </x:c>
      <x:c r="C12" s="22" t="n">
        <x:v>0.050142871079709994</x:v>
      </x:c>
      <x:c r="D12" s="22" t="str">
        <x:v>A/code</x:v>
      </x:c>
      <x:c r="E12" s="22" t="str">
        <x:v>Vlsb/Seff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adc_utilization</x:v>
      </x:c>
      <x:c r="B13" s="22" t="str">
        <x:v>ADC span utilization</x:v>
      </x:c>
      <x:c r="C13" s="22" t="n">
        <x:v>0.2684469557051994</x:v>
      </x:c>
      <x:c r="D13" s="22" t="str">
        <x:v>pu</x:v>
      </x:c>
      <x:c r="E13" s="22" t="str">
        <x:v>(Vmax-Vmin)/Vref</x:v>
      </x:c>
      <x:c r="F13" s="22" t="str"/>
      <x:c r="G13" s="22" t="str">
        <x:v>calculated</x:v>
      </x:c>
      <x:c r="H13" s="22" t="str">
        <x:v>WARNING</x:v>
      </x:c>
      <x:c r="I13" s="22" t="str"/>
    </x:row>
  </x:sheetData>
  <x:conditionalFormatting sqref="H2:H13">
    <x:cfRule type="expression" dxfId="12" priority="1">
      <x:formula>H2="PASS"</x:formula>
    </x:cfRule>
    <x:cfRule type="expression" dxfId="13" priority="2">
      <x:formula>H2="WARNING"</x:formula>
    </x:cfRule>
    <x:cfRule type="expression" dxfId="14" priority="3">
      <x:formula>H2="FAIL"</x:formula>
    </x:cfRule>
    <x:cfRule type="expression" dxfId="1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22f44511f8412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vac_design_peak_v</x:v>
      </x:c>
      <x:c r="B2" s="22" t="str">
        <x:v>VAC design peak including margin</x:v>
      </x:c>
      <x:c r="C2" s="22" t="n">
        <x:v>430.9815831332007</x:v>
      </x:c>
      <x:c r="D2" s="22" t="str">
        <x:v>V</x:v>
      </x:c>
      <x:c r="E2" s="22" t="str">
        <x:v>Vac_rms_max*sqrt(2)*Kmargin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divider_ratio</x:v>
      </x:c>
      <x:c r="B3" s="22" t="str">
        <x:v>Configured divider ratio</x:v>
      </x:c>
      <x:c r="C3" s="22" t="n">
        <x:v>0.0033222591362126247</x:v>
      </x:c>
      <x:c r="D3" s="22" t="str">
        <x:v>V/V</x:v>
      </x:c>
      <x:c r="E3" s="22" t="str">
        <x:v>Rbottom/(Rtop+Rbottom)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isolation_input_peak_v</x:v>
      </x:c>
      <x:c r="B4" s="22" t="str">
        <x:v>Isolation amplifier input peak</x:v>
      </x:c>
      <x:c r="C4" s="22" t="n">
        <x:v>1.4318325021036566</x:v>
      </x:c>
      <x:c r="D4" s="22" t="str">
        <x:v>V</x:v>
      </x:c>
      <x:c r="E4" s="22" t="str">
        <x:v>Vdesign*Kdivider</x:v>
      </x:c>
      <x:c r="F4" s="22" t="str"/>
      <x:c r="G4" s="22" t="str">
        <x:v>calculated</x:v>
      </x:c>
      <x:c r="H4" s="22" t="str">
        <x:v>FAIL</x:v>
      </x:c>
      <x:c r="I4" s="22" t="str"/>
    </x:row>
    <x:row r="5" ht="15" hidden="0" customHeight="1">
      <x:c r="A5" s="22" t="str">
        <x:v>isolation_linear_limit_v</x:v>
      </x:c>
      <x:c r="B5" s="22" t="str">
        <x:v>Isolation amplifier linear input limit</x:v>
      </x:c>
      <x:c r="C5" s="22" t="n">
        <x:v>1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recommended_high_side_ohm</x:v>
      </x:c>
      <x:c r="B6" s="22" t="str">
        <x:v>Required high-side resistance</x:v>
      </x:c>
      <x:c r="C6" s="22" t="n">
        <x:v>1576965.8048217357</x:v>
      </x:c>
      <x:c r="D6" s="22" t="str">
        <x:v>ohm</x:v>
      </x:c>
      <x:c r="E6" s="22" t="str">
        <x:v>Rbottom*(Vdesign/Vtarget-1)</x:v>
      </x:c>
      <x:c r="F6" s="22" t="str"/>
      <x:c r="G6" s="22" t="str">
        <x:v>calculated</x:v>
      </x:c>
      <x:c r="H6" s="22" t="str">
        <x:v>FAIL</x:v>
      </x:c>
      <x:c r="I6" s="22" t="str"/>
    </x:row>
    <x:row r="7" ht="15" hidden="0" customHeight="1">
      <x:c r="A7" s="22" t="str">
        <x:v>adc_output_min_v</x:v>
      </x:c>
      <x:c r="B7" s="22" t="str">
        <x:v>ADC minimum voltage</x:v>
      </x:c>
      <x:c r="C7" s="22" t="n">
        <x:v>0.21816749789634327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FAIL</x:v>
      </x:c>
      <x:c r="I7" s="22" t="str"/>
    </x:row>
    <x:row r="8" ht="15" hidden="0" customHeight="1">
      <x:c r="A8" s="22" t="str">
        <x:v>adc_output_max_v</x:v>
      </x:c>
      <x:c r="B8" s="22" t="str">
        <x:v>ADC maximum voltage</x:v>
      </x:c>
      <x:c r="C8" s="22" t="n">
        <x:v>3.081832502103657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FAIL</x:v>
      </x:c>
      <x:c r="I8" s="22" t="str"/>
    </x:row>
    <x:row r="9" ht="15" hidden="0" customHeight="1">
      <x:c r="A9" s="22" t="str">
        <x:v>vac_per_code_v</x:v>
      </x:c>
      <x:c r="B9" s="22" t="str">
        <x:v>VAC resolution</x:v>
      </x:c>
      <x:c r="C9" s="22" t="n">
        <x:v>0.220458984375</x:v>
      </x:c>
      <x:c r="D9" s="22" t="str">
        <x:v>V/code</x:v>
      </x:c>
      <x:c r="E9" s="22" t="str">
        <x:v>Vlsb/(Kdivider*Gain)</x:v>
      </x:c>
      <x:c r="F9" s="22" t="str"/>
      <x:c r="G9" s="22" t="str">
        <x:v>calculated</x:v>
      </x:c>
      <x:c r="H9" s="22" t="str">
        <x:v>PASS</x:v>
      </x:c>
      <x:c r="I9" s="22" t="str"/>
    </x:row>
  </x:sheetData>
  <x:conditionalFormatting sqref="H2:H9">
    <x:cfRule type="expression" dxfId="16" priority="1">
      <x:formula>H2="PASS"</x:formula>
    </x:cfRule>
    <x:cfRule type="expression" dxfId="17" priority="2">
      <x:formula>H2="WARNING"</x:formula>
    </x:cfRule>
    <x:cfRule type="expression" dxfId="18" priority="3">
      <x:formula>H2="FAIL"</x:formula>
    </x:cfRule>
    <x:cfRule type="expression" dxfId="1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886571e64f4a6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159154.94309189534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159154.94309189534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15000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0.9998223944475859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1.0798721171883547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-2.7606280443612286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20" priority="1">
      <x:formula>H2="PASS"</x:formula>
    </x:cfRule>
    <x:cfRule type="expression" dxfId="21" priority="2">
      <x:formula>H2="WARNING"</x:formula>
    </x:cfRule>
    <x:cfRule type="expression" dxfId="22" priority="3">
      <x:formula>H2="FAIL"</x:formula>
    </x:cfRule>
    <x:cfRule type="expression" dxfId="2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b920f24b5844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338627.5384933943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145000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342.9015690828403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0.9999999785969091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0.011854299040457476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-3.1600277531941905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24" priority="1">
      <x:formula>H2="PASS"</x:formula>
    </x:cfRule>
    <x:cfRule type="expression" dxfId="25" priority="2">
      <x:formula>H2="WARNING"</x:formula>
    </x:cfRule>
    <x:cfRule type="expression" dxfId="26" priority="3">
      <x:formula>H2="FAIL"</x:formula>
    </x:cfRule>
    <x:cfRule type="expression" dxfId="2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8b302530e74a1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actual_shunt_ohm</x:v>
      </x:c>
      <x:c r="B2" s="22" t="str">
        <x:v>Configured shunt resistance</x:v>
      </x:c>
      <x:c r="C2" s="22" t="n">
        <x:v>0.001</x:v>
      </x:c>
      <x:c r="D2" s="22" t="str">
        <x:v>ohm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max_shunt_adc_ohm</x:v>
      </x:c>
      <x:c r="B3" s="22" t="str">
        <x:v>Maximum shunt from ADC swing</x:v>
      </x:c>
      <x:c r="C3" s="22" t="n">
        <x:v>0.004751221303948576</x:v>
      </x:c>
      <x:c r="D3" s="22" t="str">
        <x:v>ohm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max_shunt_input_ohm</x:v>
      </x:c>
      <x:c r="B4" s="22" t="str">
        <x:v>Maximum shunt from amplifier input</x:v>
      </x:c>
      <x:c r="C4" s="22" t="n">
        <x:v>0.005453575757575757</x:v>
      </x:c>
      <x:c r="D4" s="22" t="str">
        <x:v>ohm</x:v>
      </x:c>
      <x:c r="E4" s="22" t="str"/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recommended_shunt_max_ohm</x:v>
      </x:c>
      <x:c r="B5" s="22" t="str">
        <x:v>Recommended maximum shunt</x:v>
      </x:c>
      <x:c r="C5" s="22" t="n">
        <x:v>0.004751221303948576</x:v>
      </x:c>
      <x:c r="D5" s="22" t="str">
        <x:v>ohm</x:v>
      </x:c>
      <x:c r="E5" s="22" t="str">
        <x:v>min(R_adc,R_input)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effective_sensitivity_v_per_a</x:v>
      </x:c>
      <x:c r="B6" s="22" t="str">
        <x:v>Effective ADC sensitivity</x:v>
      </x:c>
      <x:c r="C6" s="22" t="n">
        <x:v>0.02578125</x:v>
      </x:c>
      <x:c r="D6" s="22" t="str">
        <x:v>V/A</x:v>
      </x:c>
      <x:c r="E6" s="22" t="str">
        <x:v>Rshunt*Vref/(2*Vclip)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zero_adc_v</x:v>
      </x:c>
      <x:c r="B7" s="22" t="str">
        <x:v>Zero-current ADC voltage</x:v>
      </x:c>
      <x:c r="C7" s="22" t="n">
        <x:v>1.65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1.4079569701280226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1.8920430298719773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current_per_code_a</x:v>
      </x:c>
      <x:c r="B10" s="22" t="str">
        <x:v>Current resolution</x:v>
      </x:c>
      <x:c r="C10" s="22" t="n">
        <x:v>0.02840909090909091</x:v>
      </x:c>
      <x:c r="D10" s="22" t="str">
        <x:v>A/code</x:v>
      </x:c>
      <x:c r="E10" s="22" t="str">
        <x:v>Vlsb/Seff</x:v>
      </x:c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adc_utilization</x:v>
      </x:c>
      <x:c r="B11" s="22" t="str">
        <x:v>ADC span utilization</x:v>
      </x:c>
      <x:c r="C11" s="22" t="n">
        <x:v>0.16136201991465157</x:v>
      </x:c>
      <x:c r="D11" s="22" t="str">
        <x:v>pu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continuous_shunt_power_w</x:v>
      </x:c>
      <x:c r="B12" s="22" t="str">
        <x:v>Continuous shunt loss</x:v>
      </x:c>
      <x:c r="C12" s="22" t="n">
        <x:v>0.05058588572850757</x:v>
      </x:c>
      <x:c r="D12" s="22" t="str">
        <x:v>W</x:v>
      </x:c>
      <x:c r="E12" s="22" t="str">
        <x:v>Irms^2*R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peak_shunt_power_w</x:v>
      </x:c>
      <x:c r="B13" s="22" t="str">
        <x:v>Peak shunt loss</x:v>
      </x:c>
      <x:c r="C13" s="22" t="n">
        <x:v>0.08814084729335163</x:v>
      </x:c>
      <x:c r="D13" s="22" t="str">
        <x:v>W</x:v>
      </x:c>
      <x:c r="E13" s="22" t="str">
        <x:v>Ipeak^2*R</x:v>
      </x:c>
      <x:c r="F13" s="22" t="str"/>
      <x:c r="G13" s="22" t="str">
        <x:v>calculated</x:v>
      </x:c>
      <x:c r="H13" s="22" t="str">
        <x:v>PASS</x:v>
      </x:c>
      <x:c r="I13" s="22" t="str"/>
    </x:row>
    <x:row r="14" ht="39.599998474121094" hidden="0" customHeight="1">
      <x:c r="A14" s="22" t="str">
        <x:v>equivalent_offset_current_a</x:v>
      </x:c>
      <x:c r="B14" s="22" t="str">
        <x:v>Equivalent input offset current</x:v>
      </x:c>
      <x:c r="C14" s="22"/>
      <x:c r="D14" s="22" t="str">
        <x:v>A</x:v>
      </x:c>
      <x:c r="E14" s="22" t="str">
        <x:v>Vos/Rshunt</x:v>
      </x:c>
      <x:c r="F14" s="22" t="str"/>
      <x:c r="G14" s="22" t="str">
        <x:v>missing input</x:v>
      </x:c>
      <x:c r="H14" s="22" t="str">
        <x:v>NOT_EVALUATED</x:v>
      </x:c>
      <x:c r="I14" s="22" t="str">
        <x:v>Enter channels.idc.amplifier.input_offset_v.</x:v>
      </x:c>
    </x:row>
  </x:sheetData>
  <x:conditionalFormatting sqref="H2:H14">
    <x:cfRule type="expression" dxfId="28" priority="1">
      <x:formula>H2="PASS"</x:formula>
    </x:cfRule>
    <x:cfRule type="expression" dxfId="29" priority="2">
      <x:formula>H2="WARNING"</x:formula>
    </x:cfRule>
    <x:cfRule type="expression" dxfId="30" priority="3">
      <x:formula>H2="FAIL"</x:formula>
    </x:cfRule>
    <x:cfRule type="expression" dxfId="3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ca1838d9fb484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vdc_design_max_v</x:v>
      </x:c>
      <x:c r="B2" s="22" t="str">
        <x:v>VDC design maximum including margin</x:v>
      </x:c>
      <x:c r="C2" s="22" t="n">
        <x:v>482.99999999999994</x:v>
      </x:c>
      <x:c r="D2" s="22" t="str">
        <x:v>V</x:v>
      </x:c>
      <x:c r="E2" s="22" t="str">
        <x:v>Vdc_max*Kmargin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architecture</x:v>
      </x:c>
      <x:c r="B3" s="22" t="str">
        <x:v>Sensing architecture</x:v>
      </x:c>
      <x:c r="C3" s="22" t="str">
        <x:v>direct_hv</x:v>
      </x:c>
      <x:c r="D3" s="22" t="str"/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sensor_transfer_ratio</x:v>
      </x:c>
      <x:c r="B4" s="22" t="str">
        <x:v>Direct-HV sensor transfer ratio</x:v>
      </x:c>
      <x:c r="C4" s="22" t="n">
        <x:v>0.002576112412177986</x:v>
      </x:c>
      <x:c r="D4" s="22" t="str">
        <x:v>V/V</x:v>
      </x:c>
      <x:c r="E4" s="22" t="str">
        <x:v>Vref/Vclip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adc_voltage_at_design_max</x:v>
      </x:c>
      <x:c r="B5" s="22" t="str">
        <x:v>ADC voltage at VDC design maximum</x:v>
      </x:c>
      <x:c r="C5" s="22" t="n">
        <x:v>1.244262295081967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26.399999618530273" hidden="0" customHeight="1">
      <x:c r="A6" s="22" t="str">
        <x:v>maximum_measurable_vdc_v</x:v>
      </x:c>
      <x:c r="B6" s="22" t="str">
        <x:v>Maximum measurable VDC before ADC full scale</x:v>
      </x:c>
      <x:c r="C6" s="22" t="n">
        <x:v>1164.5454545454545</x:v>
      </x:c>
      <x:c r="D6" s="22" t="str">
        <x:v>V</x:v>
      </x:c>
      <x:c r="E6" s="22" t="str">
        <x:v>Vadc_fs/Ksensor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vdc_per_code_v</x:v>
      </x:c>
      <x:c r="B7" s="22" t="str">
        <x:v>VDC resolution</x:v>
      </x:c>
      <x:c r="C7" s="22" t="n">
        <x:v>0.28431285511363635</x:v>
      </x:c>
      <x:c r="D7" s="22" t="str">
        <x:v>V/code</x:v>
      </x:c>
      <x:c r="E7" s="22" t="str">
        <x:v>Vlsb/Ksensor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adc_utilization</x:v>
      </x:c>
      <x:c r="B8" s="22" t="str">
        <x:v>ADC utilization at VDC design maximum</x:v>
      </x:c>
      <x:c r="C8" s="22" t="n">
        <x:v>0.4147540983606557</x:v>
      </x:c>
      <x:c r="D8" s="22" t="str">
        <x:v>pu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</x:sheetData>
  <x:conditionalFormatting sqref="H2:H8">
    <x:cfRule type="expression" dxfId="32" priority="1">
      <x:formula>H2="PASS"</x:formula>
    </x:cfRule>
    <x:cfRule type="expression" dxfId="33" priority="2">
      <x:formula>H2="WARNING"</x:formula>
    </x:cfRule>
    <x:cfRule type="expression" dxfId="34" priority="3">
      <x:formula>H2="FAIL"</x:formula>
    </x:cfRule>
    <x:cfRule type="expression" dxfId="3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49d4f858cc447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6786.123015899687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6786.123015899687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FAIL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10000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0.9592091848328073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16.421251669078007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FAIL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-26.89827037859558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36" priority="1">
      <x:formula>H2="PASS"</x:formula>
    </x:cfRule>
    <x:cfRule type="expression" dxfId="37" priority="2">
      <x:formula>H2="WARNING"</x:formula>
    </x:cfRule>
    <x:cfRule type="expression" dxfId="38" priority="3">
      <x:formula>H2="FAIL"</x:formula>
    </x:cfRule>
    <x:cfRule type="expression" dxfId="3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98e90781164d4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6786.123015899687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6786.123015899687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228.60104605522685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0.9999956570611909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0.16886111109563232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-26.89827037859558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40" priority="1">
      <x:formula>H2="PASS"</x:formula>
    </x:cfRule>
    <x:cfRule type="expression" dxfId="41" priority="2">
      <x:formula>H2="WARNING"</x:formula>
    </x:cfRule>
    <x:cfRule type="expression" dxfId="42" priority="3">
      <x:formula>H2="FAIL"</x:formula>
    </x:cfRule>
    <x:cfRule type="expression" dxfId="4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d9853ab33045d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adc_lsb_v</x:v>
      </x:c>
      <x:c r="B2" s="22" t="str">
        <x:v>ADC voltage LSB</x:v>
      </x:c>
      <x:c r="C2" s="22" t="n">
        <x:v>0.000732421875</x:v>
      </x:c>
      <x:c r="D2" s="22" t="str">
        <x:v>V/code</x:v>
      </x:c>
      <x:c r="E2" s="22" t="str">
        <x:v>Vref/2^N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configured_sample_cycles</x:v>
      </x:c>
      <x:c r="B3" s="22" t="str">
        <x:v>Configured sample window</x:v>
      </x:c>
      <x:c r="C3" s="22" t="n">
        <x:v>20</x:v>
      </x:c>
      <x:c r="D3" s="22" t="str">
        <x:v>SYSCLK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configured_sample_time_s</x:v>
      </x:c>
      <x:c r="B4" s="22" t="str">
        <x:v>Configured sample time</x:v>
      </x:c>
      <x:c r="C4" s="22" t="n">
        <x:v>1e-7</x:v>
      </x:c>
      <x:c r="D4" s="22" t="str">
        <x:v>s</x:v>
      </x:c>
      <x:c r="E4" s="22" t="str">
        <x:v>cycles/fsysclk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simplified_tau_s</x:v>
      </x:c>
      <x:c r="B5" s="22" t="str">
        <x:v>Simplified RC time constant</x:v>
      </x:c>
      <x:c r="C5" s="22" t="n">
        <x:v>3e-9</x:v>
      </x:c>
      <x:c r="D5" s="22" t="str">
        <x:v>s</x:v>
      </x:c>
      <x:c r="E5" s="22" t="str">
        <x:v>Rsource*Ctotal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simplified_required_time_s</x:v>
      </x:c>
      <x:c r="B6" s="22" t="str">
        <x:v>Simplified required acquisition time</x:v>
      </x:c>
      <x:c r="C6" s="22" t="n">
        <x:v>2.7032740041837863e-8</x:v>
      </x:c>
      <x:c r="D6" s="22" t="str">
        <x:v>s</x:v>
      </x:c>
      <x:c r="E6" s="22" t="str">
        <x:v>-tau*ln(target_lsb/2^N)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simplified_recommended_time_s</x:v>
      </x:c>
      <x:c r="B7" s="22" t="str">
        <x:v>Simplified recommended acquisition time</x:v>
      </x:c>
      <x:c r="C7" s="22" t="n">
        <x:v>4.0549110062756793e-8</x:v>
      </x:c>
      <x:c r="D7" s="22" t="str">
        <x:v>s</x:v>
      </x:c>
      <x:c r="E7" s="22" t="str">
        <x:v>treq*Ksafety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simplified_recommended_cycles</x:v>
      </x:c>
      <x:c r="B8" s="22" t="str">
        <x:v>Simplified recommended sample window</x:v>
      </x:c>
      <x:c r="C8" s="22" t="n">
        <x:v>9</x:v>
      </x:c>
      <x:c r="D8" s="22" t="str">
        <x:v>SYSCLK</x:v>
      </x:c>
      <x:c r="E8" s="22" t="str">
        <x:v>ceil(trec*fsysclk)</x:v>
      </x:c>
      <x:c r="F8" s="22" t="str"/>
      <x:c r="G8" s="22" t="str">
        <x:v>calculated</x:v>
      </x:c>
      <x:c r="H8" s="22" t="str">
        <x:v>PASS</x:v>
      </x:c>
      <x:c r="I8" s="22" t="str"/>
    </x:row>
    <x:row r="9" ht="52.79999923706055" hidden="0" customHeight="1">
      <x:c r="A9" s="22" t="str">
        <x:v>exact_recommended_cycles</x:v>
      </x:c>
      <x:c r="B9" s="22" t="str">
        <x:v>Exact-model recommended sample window</x:v>
      </x:c>
      <x:c r="C9" s="22"/>
      <x:c r="D9" s="22" t="str">
        <x:v>SYSCLK</x:v>
      </x:c>
      <x:c r="E9" s="22" t="str"/>
      <x:c r="F9" s="22" t="str"/>
      <x:c r="G9" s="22" t="str">
        <x:v>missing device parameters</x:v>
      </x:c>
      <x:c r="H9" s="22" t="str">
        <x:v>NOT_EVALUATED</x:v>
      </x:c>
      <x:c r="I9" s="22" t="str">
        <x:v>Enter F29H85x sample capacitor and switch resistance from the applicable data sheet/model.</x:v>
      </x:c>
    </x:row>
  </x:sheetData>
  <x:conditionalFormatting sqref="H2:H9">
    <x:cfRule type="expression" dxfId="44" priority="1">
      <x:formula>H2="PASS"</x:formula>
    </x:cfRule>
    <x:cfRule type="expression" dxfId="45" priority="2">
      <x:formula>H2="WARNING"</x:formula>
    </x:cfRule>
    <x:cfRule type="expression" dxfId="46" priority="3">
      <x:formula>H2="FAIL"</x:formula>
    </x:cfRule>
    <x:cfRule type="expression" dxfId="4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5d8778442a448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5e-8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 t="n">
        <x:v>0</x:v>
      </x:c>
      <x:c r="D3" s="22" t="str">
        <x:v>s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5e-8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0.054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48" priority="1">
      <x:formula>H2="PASS"</x:formula>
    </x:cfRule>
    <x:cfRule type="expression" dxfId="49" priority="2">
      <x:formula>H2="WARNING"</x:formula>
    </x:cfRule>
    <x:cfRule type="expression" dxfId="50" priority="3">
      <x:formula>H2="FAIL"</x:formula>
    </x:cfRule>
    <x:cfRule type="expression" dxfId="5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9e57c1a42a4af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0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/>
      <x:c r="D3" s="22" t="str">
        <x:v>s</x:v>
      </x:c>
      <x:c r="E3" s="22" t="str"/>
      <x:c r="F3" s="22" t="str"/>
      <x:c r="G3" s="22" t="str">
        <x:v>calculated</x:v>
      </x:c>
      <x:c r="H3" s="22" t="str">
        <x:v>NOT_EVALUATED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52" priority="1">
      <x:formula>H2="PASS"</x:formula>
    </x:cfRule>
    <x:cfRule type="expression" dxfId="53" priority="2">
      <x:formula>H2="WARNING"</x:formula>
    </x:cfRule>
    <x:cfRule type="expression" dxfId="54" priority="3">
      <x:formula>H2="FAIL"</x:formula>
    </x:cfRule>
    <x:cfRule type="expression" dxfId="5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b05dbe9839489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0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 t="n">
        <x:v>0.0000029</x:v>
      </x:c>
      <x:c r="D3" s="22" t="str">
        <x:v>s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0.0000029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0.03132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56" priority="1">
      <x:formula>H2="PASS"</x:formula>
    </x:cfRule>
    <x:cfRule type="expression" dxfId="57" priority="2">
      <x:formula>H2="WARNING"</x:formula>
    </x:cfRule>
    <x:cfRule type="expression" dxfId="58" priority="3">
      <x:formula>H2="FAIL"</x:formula>
    </x:cfRule>
    <x:cfRule type="expression" dxfId="5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16990b25f841a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/>
      <x:c r="D2" s="22" t="str">
        <x:v>s</x:v>
      </x:c>
      <x:c r="E2" s="22" t="str"/>
      <x:c r="F2" s="22" t="str"/>
      <x:c r="G2" s="22" t="str">
        <x:v>calculated</x:v>
      </x:c>
      <x:c r="H2" s="22" t="str">
        <x:v>NOT_EVALUATED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/>
      <x:c r="D3" s="22" t="str">
        <x:v>s</x:v>
      </x:c>
      <x:c r="E3" s="22" t="str"/>
      <x:c r="F3" s="22" t="str"/>
      <x:c r="G3" s="22" t="str">
        <x:v>calculated</x:v>
      </x:c>
      <x:c r="H3" s="22" t="str">
        <x:v>NOT_EVALUATED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60" priority="1">
      <x:formula>H2="PASS"</x:formula>
    </x:cfRule>
    <x:cfRule type="expression" dxfId="61" priority="2">
      <x:formula>H2="WARNING"</x:formula>
    </x:cfRule>
    <x:cfRule type="expression" dxfId="62" priority="3">
      <x:formula>H2="FAIL"</x:formula>
    </x:cfRule>
    <x:cfRule type="expression" dxfId="6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2480cc75064cc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64" priority="1">
      <x:formula>H2="PASS"</x:formula>
    </x:cfRule>
    <x:cfRule type="expression" dxfId="65" priority="2">
      <x:formula>H2="WARNING"</x:formula>
    </x:cfRule>
    <x:cfRule type="expression" dxfId="66" priority="3">
      <x:formula>H2="FAIL"</x:formula>
    </x:cfRule>
    <x:cfRule type="expression" dxfId="6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209f4169c2438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68" priority="1">
      <x:formula>H2="PASS"</x:formula>
    </x:cfRule>
    <x:cfRule type="expression" dxfId="69" priority="2">
      <x:formula>H2="WARNING"</x:formula>
    </x:cfRule>
    <x:cfRule type="expression" dxfId="70" priority="3">
      <x:formula>H2="FAIL"</x:formula>
    </x:cfRule>
    <x:cfRule type="expression" dxfId="7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93aae8664f402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72" priority="1">
      <x:formula>H2="PASS"</x:formula>
    </x:cfRule>
    <x:cfRule type="expression" dxfId="73" priority="2">
      <x:formula>H2="WARNING"</x:formula>
    </x:cfRule>
    <x:cfRule type="expression" dxfId="74" priority="3">
      <x:formula>H2="FAIL"</x:formula>
    </x:cfRule>
    <x:cfRule type="expression" dxfId="7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31aa74b8ac4271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76" priority="1">
      <x:formula>H2="PASS"</x:formula>
    </x:cfRule>
    <x:cfRule type="expression" dxfId="77" priority="2">
      <x:formula>H2="WARNING"</x:formula>
    </x:cfRule>
    <x:cfRule type="expression" dxfId="78" priority="3">
      <x:formula>H2="FAIL"</x:formula>
    </x:cfRule>
    <x:cfRule type="expression" dxfId="7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77824e951649c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5" max="5" width="38" hidden="0" customWidth="1"/>
    <x:col min="6" max="6" width="38" hidden="0" customWidth="1"/>
    <x:col min="9" max="9" width="32" hidden="0" customWidth="1"/>
  </x:cols>
  <x:sheetData>
    <x:row r="1" ht="15" hidden="0" customHeight="1">
      <x:c r="A1" s="12" t="str">
        <x:v>Section</x:v>
      </x:c>
      <x:c r="B1" s="12" t="str">
        <x:v>Key</x:v>
      </x:c>
      <x:c r="C1" s="12" t="str">
        <x:v>Result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26.399999618530273" hidden="0" customHeight="1">
      <x:c r="A2" s="22" t="str">
        <x:v>10_System_Rating</x:v>
      </x:c>
      <x:c r="B2" s="22" t="str">
        <x:v>phase_count</x:v>
      </x:c>
      <x:c r="C2" s="22" t="n">
        <x:v>1</x:v>
      </x:c>
      <x:c r="D2" s="22" t="str">
        <x:v>phase</x:v>
      </x:c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26.399999618530273" hidden="0" customHeight="1">
      <x:c r="A3" s="22" t="str">
        <x:v>10_System_Rating</x:v>
      </x:c>
      <x:c r="B3" s="22" t="str">
        <x:v>ac_voltage_basis</x:v>
      </x:c>
      <x:c r="C3" s="22" t="str">
        <x:v>single_phase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26.399999618530273" hidden="0" customHeight="1">
      <x:c r="A4" s="22" t="str">
        <x:v>10_System_Rating</x:v>
      </x:c>
      <x:c r="B4" s="22" t="str">
        <x:v>phase_unbalance_factor</x:v>
      </x:c>
      <x:c r="C4" s="22" t="n">
        <x:v>1</x:v>
      </x:c>
      <x:c r="D4" s="22" t="str">
        <x:v>pu</x:v>
      </x:c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26.399999618530273" hidden="0" customHeight="1">
      <x:c r="A5" s="22" t="str">
        <x:v>10_System_Rating</x:v>
      </x:c>
      <x:c r="B5" s="22" t="str">
        <x:v>iac_rms_max_a</x:v>
      </x:c>
      <x:c r="C5" s="22" t="n">
        <x:v>14.76755862720775</x:v>
      </x:c>
      <x:c r="D5" s="22" t="str">
        <x:v>A</x:v>
      </x:c>
      <x:c r="E5" s="22" t="str">
        <x:v>Ppeak/(Vac_min*eta*PF)</x:v>
      </x:c>
      <x:c r="F5" s="22" t="str">
        <x:v>peak_power=2500.0, vac_min=180.0, efficiency=0.95, pf=0.99, unbalance=1.0</x:v>
      </x:c>
      <x:c r="G5" s="22" t="str">
        <x:v>calculated</x:v>
      </x:c>
      <x:c r="H5" s="22" t="str">
        <x:v>PASS</x:v>
      </x:c>
      <x:c r="I5" s="22" t="str"/>
    </x:row>
    <x:row r="6" ht="26.399999618530273" hidden="0" customHeight="1">
      <x:c r="A6" s="22" t="str">
        <x:v>10_System_Rating</x:v>
      </x:c>
      <x:c r="B6" s="22" t="str">
        <x:v>iac_peak_a</x:v>
      </x:c>
      <x:c r="C6" s="22" t="n">
        <x:v>20.884481693737005</x:v>
      </x:c>
      <x:c r="D6" s="22" t="str">
        <x:v>A</x:v>
      </x:c>
      <x:c r="E6" s="22" t="str">
        <x:v>sqrt(2)*Iac_rms</x:v>
      </x:c>
      <x:c r="F6" s="22" t="str"/>
      <x:c r="G6" s="22" t="str">
        <x:v>calculated</x:v>
      </x:c>
      <x:c r="H6" s="22" t="str">
        <x:v>PASS</x:v>
      </x:c>
      <x:c r="I6" s="22" t="str"/>
    </x:row>
    <x:row r="7" ht="26.399999618530273" hidden="0" customHeight="1">
      <x:c r="A7" s="22" t="str">
        <x:v>10_System_Rating</x:v>
      </x:c>
      <x:c r="B7" s="22" t="str">
        <x:v>iac_design_peak_a</x:v>
      </x:c>
      <x:c r="C7" s="22" t="n">
        <x:v>27.56751583573285</x:v>
      </x:c>
      <x:c r="D7" s="22" t="str">
        <x:v>A</x:v>
      </x:c>
      <x:c r="E7" s="22" t="str">
        <x:v>Iac_peak*Koverload*Kmargin</x:v>
      </x:c>
      <x:c r="F7" s="22" t="str">
        <x:v>overload=1.1, iac_margin=1.2</x:v>
      </x:c>
      <x:c r="G7" s="22" t="str">
        <x:v>calculated</x:v>
      </x:c>
      <x:c r="H7" s="22" t="str">
        <x:v>PASS</x:v>
      </x:c>
      <x:c r="I7" s="22" t="str"/>
    </x:row>
    <x:row r="8" ht="26.399999618530273" hidden="0" customHeight="1">
      <x:c r="A8" s="22" t="str">
        <x:v>10_System_Rating</x:v>
      </x:c>
      <x:c r="B8" s="22" t="str">
        <x:v>idc_continuous_max_a</x:v>
      </x:c>
      <x:c r="C8" s="22" t="n">
        <x:v>7.112375533428165</x:v>
      </x:c>
      <x:c r="D8" s="22" t="str">
        <x:v>A</x:v>
      </x:c>
      <x:c r="E8" s="22" t="str">
        <x:v>Ppeak/(Vdc_min*eta)</x:v>
      </x:c>
      <x:c r="F8" s="22" t="str"/>
      <x:c r="G8" s="22" t="str">
        <x:v>calculated</x:v>
      </x:c>
      <x:c r="H8" s="22" t="str">
        <x:v>PASS</x:v>
      </x:c>
      <x:c r="I8" s="22" t="str"/>
    </x:row>
    <x:row r="9" ht="26.399999618530273" hidden="0" customHeight="1">
      <x:c r="A9" s="22" t="str">
        <x:v>10_System_Rating</x:v>
      </x:c>
      <x:c r="B9" s="22" t="str">
        <x:v>idc_design_peak_a</x:v>
      </x:c>
      <x:c r="C9" s="22" t="n">
        <x:v>9.38833570412518</x:v>
      </x:c>
      <x:c r="D9" s="22" t="str">
        <x:v>A</x:v>
      </x:c>
      <x:c r="E9" s="22" t="str">
        <x:v>Idc_cont*Koverload*Kmargin</x:v>
      </x:c>
      <x:c r="F9" s="22" t="str">
        <x:v>overload=1.1, idc_margin=1.2</x:v>
      </x:c>
      <x:c r="G9" s="22" t="str">
        <x:v>calculated</x:v>
      </x:c>
      <x:c r="H9" s="22" t="str">
        <x:v>PASS</x:v>
      </x:c>
      <x:c r="I9" s="22" t="str"/>
    </x:row>
    <x:row r="10" ht="26.399999618530273" hidden="0" customHeight="1">
      <x:c r="A10" s="22" t="str">
        <x:v>15_Phase_Channels</x:v>
      </x:c>
      <x:c r="B10" s="22" t="str">
        <x:v>phase_mode</x:v>
      </x:c>
      <x:c r="C10" s="22" t="str">
        <x:v>single_phase</x:v>
      </x:c>
      <x:c r="D10" s="22" t="str"/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26.399999618530273" hidden="0" customHeight="1">
      <x:c r="A11" s="22" t="str">
        <x:v>20_IAC_Hall</x:v>
      </x:c>
      <x:c r="B11" s="22" t="str">
        <x:v>design_current_a</x:v>
      </x:c>
      <x:c r="C11" s="22" t="n">
        <x:v>27.56751583573285</x:v>
      </x:c>
      <x:c r="D11" s="22" t="str">
        <x:v>A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20_IAC_Hall</x:v>
      </x:c>
      <x:c r="B12" s="22" t="str">
        <x:v>effective_sensitivity_v_per_a</x:v>
      </x:c>
      <x:c r="C12" s="22" t="n">
        <x:v>0.0146067</x:v>
      </x:c>
      <x:c r="D12" s="22" t="str">
        <x:v>V/A</x:v>
      </x:c>
      <x:c r="E12" s="22" t="str">
        <x:v>Sensor sensitivity*front-end gain</x:v>
      </x:c>
      <x:c r="F12" s="22" t="str"/>
      <x:c r="G12" s="22" t="str">
        <x:v>calculated</x:v>
      </x:c>
      <x:c r="H12" s="22" t="str">
        <x:v>PASS</x:v>
      </x:c>
      <x:c r="I12" s="22" t="str"/>
    </x:row>
    <x:row r="13" ht="26.399999618530273" hidden="0" customHeight="1">
      <x:c r="A13" s="22" t="str">
        <x:v>20_IAC_Hall</x:v>
      </x:c>
      <x:c r="B13" s="22" t="str">
        <x:v>maximum_sensitivity_v_per_a</x:v>
      </x:c>
      <x:c r="C13" s="22" t="n">
        <x:v>0.04573027208951222</x:v>
      </x:c>
      <x:c r="D13" s="22" t="str">
        <x:v>V/A</x:v>
      </x:c>
      <x:c r="E13" s="22" t="str">
        <x:v>min((Vzero-Vmin)/Imax,(Vmax-Vzero)/Imax)</x:v>
      </x:c>
      <x:c r="F13" s="22" t="str"/>
      <x:c r="G13" s="22" t="str">
        <x:v>calculated</x:v>
      </x:c>
      <x:c r="H13" s="22" t="str">
        <x:v>PASS</x:v>
      </x:c>
      <x:c r="I13" s="22" t="str"/>
    </x:row>
    <x:row r="14" ht="26.399999618530273" hidden="0" customHeight="1">
      <x:c r="A14" s="22" t="str">
        <x:v>20_IAC_Hall</x:v>
      </x:c>
      <x:c r="B14" s="22" t="str">
        <x:v>maximum_front_end_gain</x:v>
      </x:c>
      <x:c r="C14" s="22" t="n">
        <x:v>1.8292108835804888</x:v>
      </x:c>
      <x:c r="D14" s="22" t="str">
        <x:v>V/V</x:v>
      </x:c>
      <x:c r="E14" s="22" t="str">
        <x:v>Seff_max/Ssensor</x:v>
      </x:c>
      <x:c r="F14" s="22" t="str"/>
      <x:c r="G14" s="22" t="str">
        <x:v>calculated</x:v>
      </x:c>
      <x:c r="H14" s="22" t="str">
        <x:v>PASS</x:v>
      </x:c>
      <x:c r="I14" s="22" t="str"/>
    </x:row>
    <x:row r="15" ht="15" hidden="0" customHeight="1">
      <x:c r="A15" s="22" t="str">
        <x:v>20_IAC_Hall</x:v>
      </x:c>
      <x:c r="B15" s="22" t="str">
        <x:v>zero_adc_v</x:v>
      </x:c>
      <x:c r="C15" s="22" t="n">
        <x:v>1.46067</x:v>
      </x:c>
      <x:c r="D15" s="22" t="str">
        <x:v>V</x:v>
      </x:c>
      <x:c r="E15" s="22" t="str"/>
      <x:c r="F15" s="22" t="str"/>
      <x:c r="G15" s="22" t="str">
        <x:v>calculated</x:v>
      </x:c>
      <x:c r="H15" s="22" t="str">
        <x:v>PASS</x:v>
      </x:c>
      <x:c r="I15" s="22" t="str"/>
    </x:row>
    <x:row r="16" ht="26.399999618530273" hidden="0" customHeight="1">
      <x:c r="A16" s="22" t="str">
        <x:v>20_IAC_Hall</x:v>
      </x:c>
      <x:c r="B16" s="22" t="str">
        <x:v>zero_adc_code</x:v>
      </x:c>
      <x:c r="C16" s="22" t="n">
        <x:v>1994.30144</x:v>
      </x:c>
      <x:c r="D16" s="22" t="str">
        <x:v>code</x:v>
      </x:c>
      <x:c r="E16" s="22" t="str"/>
      <x:c r="F16" s="22" t="str"/>
      <x:c r="G16" s="22" t="str">
        <x:v>calculated</x:v>
      </x:c>
      <x:c r="H16" s="22" t="str">
        <x:v>PASS</x:v>
      </x:c>
      <x:c r="I16" s="22" t="str"/>
    </x:row>
    <x:row r="17" ht="26.399999618530273" hidden="0" customHeight="1">
      <x:c r="A17" s="22" t="str">
        <x:v>20_IAC_Hall</x:v>
      </x:c>
      <x:c r="B17" s="22" t="str">
        <x:v>adc_min_v</x:v>
      </x:c>
      <x:c r="C17" s="22" t="n">
        <x:v>1.0579995664422008</x:v>
      </x:c>
      <x:c r="D17" s="22" t="str">
        <x:v>V</x:v>
      </x:c>
      <x:c r="E17" s="22" t="str"/>
      <x:c r="F17" s="22" t="str"/>
      <x:c r="G17" s="22" t="str">
        <x:v>calculated</x:v>
      </x:c>
      <x:c r="H17" s="22" t="str">
        <x:v>PASS</x:v>
      </x:c>
      <x:c r="I17" s="22" t="str"/>
    </x:row>
    <x:row r="18" ht="26.399999618530273" hidden="0" customHeight="1">
      <x:c r="A18" s="22" t="str">
        <x:v>20_IAC_Hall</x:v>
      </x:c>
      <x:c r="B18" s="22" t="str">
        <x:v>adc_max_v</x:v>
      </x:c>
      <x:c r="C18" s="22" t="n">
        <x:v>1.863340433557799</x:v>
      </x:c>
      <x:c r="D18" s="22" t="str">
        <x:v>V</x:v>
      </x:c>
      <x:c r="E18" s="22" t="str"/>
      <x:c r="F18" s="22" t="str"/>
      <x:c r="G18" s="22" t="str">
        <x:v>calculated</x:v>
      </x:c>
      <x:c r="H18" s="22" t="str">
        <x:v>PASS</x:v>
      </x:c>
      <x:c r="I18" s="22" t="str"/>
    </x:row>
    <x:row r="19" ht="26.399999618530273" hidden="0" customHeight="1">
      <x:c r="A19" s="22" t="str">
        <x:v>20_IAC_Hall</x:v>
      </x:c>
      <x:c r="B19" s="22" t="str">
        <x:v>adc_min_code</x:v>
      </x:c>
      <x:c r="C19" s="22" t="n">
        <x:v>1444.5220747157516</x:v>
      </x:c>
      <x:c r="D19" s="22" t="str">
        <x:v>code</x:v>
      </x:c>
      <x:c r="E19" s="22" t="str"/>
      <x:c r="F19" s="22" t="str"/>
      <x:c r="G19" s="22" t="str">
        <x:v>calculated</x:v>
      </x:c>
      <x:c r="H19" s="22" t="str">
        <x:v>PASS</x:v>
      </x:c>
      <x:c r="I19" s="22" t="str"/>
    </x:row>
    <x:row r="20" ht="26.399999618530273" hidden="0" customHeight="1">
      <x:c r="A20" s="22" t="str">
        <x:v>20_IAC_Hall</x:v>
      </x:c>
      <x:c r="B20" s="22" t="str">
        <x:v>adc_max_code</x:v>
      </x:c>
      <x:c r="C20" s="22" t="n">
        <x:v>2544.080805284248</x:v>
      </x:c>
      <x:c r="D20" s="22" t="str">
        <x:v>code</x:v>
      </x:c>
      <x:c r="E20" s="22" t="str"/>
      <x:c r="F20" s="22" t="str"/>
      <x:c r="G20" s="22" t="str">
        <x:v>calculated</x:v>
      </x:c>
      <x:c r="H20" s="22" t="str">
        <x:v>PASS</x:v>
      </x:c>
      <x:c r="I20" s="22" t="str"/>
    </x:row>
    <x:row r="21" ht="26.399999618530273" hidden="0" customHeight="1">
      <x:c r="A21" s="22" t="str">
        <x:v>20_IAC_Hall</x:v>
      </x:c>
      <x:c r="B21" s="22" t="str">
        <x:v>current_per_code_a</x:v>
      </x:c>
      <x:c r="C21" s="22" t="n">
        <x:v>0.050142871079709994</x:v>
      </x:c>
      <x:c r="D21" s="22" t="str">
        <x:v>A/code</x:v>
      </x:c>
      <x:c r="E21" s="22" t="str">
        <x:v>Vlsb/Seff</x:v>
      </x:c>
      <x:c r="F21" s="22" t="str"/>
      <x:c r="G21" s="22" t="str">
        <x:v>calculated</x:v>
      </x:c>
      <x:c r="H21" s="22" t="str">
        <x:v>PASS</x:v>
      </x:c>
      <x:c r="I21" s="22" t="str"/>
    </x:row>
    <x:row r="22" ht="26.399999618530273" hidden="0" customHeight="1">
      <x:c r="A22" s="22" t="str">
        <x:v>20_IAC_Hall</x:v>
      </x:c>
      <x:c r="B22" s="22" t="str">
        <x:v>adc_utilization</x:v>
      </x:c>
      <x:c r="C22" s="22" t="n">
        <x:v>0.2684469557051994</x:v>
      </x:c>
      <x:c r="D22" s="22" t="str">
        <x:v>pu</x:v>
      </x:c>
      <x:c r="E22" s="22" t="str">
        <x:v>(Vmax-Vmin)/Vref</x:v>
      </x:c>
      <x:c r="F22" s="22" t="str"/>
      <x:c r="G22" s="22" t="str">
        <x:v>calculated</x:v>
      </x:c>
      <x:c r="H22" s="22" t="str">
        <x:v>WARNING</x:v>
      </x:c>
      <x:c r="I22" s="22" t="str"/>
    </x:row>
    <x:row r="23" ht="26.399999618530273" hidden="0" customHeight="1">
      <x:c r="A23" s="22" t="str">
        <x:v>40_VAC</x:v>
      </x:c>
      <x:c r="B23" s="22" t="str">
        <x:v>vac_design_peak_v</x:v>
      </x:c>
      <x:c r="C23" s="22" t="n">
        <x:v>430.9815831332007</x:v>
      </x:c>
      <x:c r="D23" s="22" t="str">
        <x:v>V</x:v>
      </x:c>
      <x:c r="E23" s="22" t="str">
        <x:v>Vac_rms_max*sqrt(2)*Kmargin</x:v>
      </x:c>
      <x:c r="F23" s="22" t="str"/>
      <x:c r="G23" s="22" t="str">
        <x:v>calculated</x:v>
      </x:c>
      <x:c r="H23" s="22" t="str">
        <x:v>PASS</x:v>
      </x:c>
      <x:c r="I23" s="22" t="str"/>
    </x:row>
    <x:row r="24" ht="26.399999618530273" hidden="0" customHeight="1">
      <x:c r="A24" s="22" t="str">
        <x:v>40_VAC</x:v>
      </x:c>
      <x:c r="B24" s="22" t="str">
        <x:v>divider_ratio</x:v>
      </x:c>
      <x:c r="C24" s="22" t="n">
        <x:v>0.0033222591362126247</x:v>
      </x:c>
      <x:c r="D24" s="22" t="str">
        <x:v>V/V</x:v>
      </x:c>
      <x:c r="E24" s="22" t="str">
        <x:v>Rbottom/(Rtop+Rbottom)</x:v>
      </x:c>
      <x:c r="F24" s="22" t="str"/>
      <x:c r="G24" s="22" t="str">
        <x:v>calculated</x:v>
      </x:c>
      <x:c r="H24" s="22" t="str">
        <x:v>PASS</x:v>
      </x:c>
      <x:c r="I24" s="22" t="str"/>
    </x:row>
    <x:row r="25" ht="26.399999618530273" hidden="0" customHeight="1">
      <x:c r="A25" s="22" t="str">
        <x:v>40_VAC</x:v>
      </x:c>
      <x:c r="B25" s="22" t="str">
        <x:v>isolation_input_peak_v</x:v>
      </x:c>
      <x:c r="C25" s="22" t="n">
        <x:v>1.4318325021036566</x:v>
      </x:c>
      <x:c r="D25" s="22" t="str">
        <x:v>V</x:v>
      </x:c>
      <x:c r="E25" s="22" t="str">
        <x:v>Vdesign*Kdivider</x:v>
      </x:c>
      <x:c r="F25" s="22" t="str"/>
      <x:c r="G25" s="22" t="str">
        <x:v>calculated</x:v>
      </x:c>
      <x:c r="H25" s="22" t="str">
        <x:v>FAIL</x:v>
      </x:c>
      <x:c r="I25" s="22" t="str"/>
    </x:row>
    <x:row r="26" ht="15" hidden="0" customHeight="1">
      <x:c r="A26" s="22" t="str">
        <x:v>40_VAC</x:v>
      </x:c>
      <x:c r="B26" s="22" t="str">
        <x:v>isolation_linear_limit_v</x:v>
      </x:c>
      <x:c r="C26" s="22" t="n">
        <x:v>1</x:v>
      </x:c>
      <x:c r="D26" s="22" t="str">
        <x:v>V</x:v>
      </x:c>
      <x:c r="E26" s="22" t="str"/>
      <x:c r="F26" s="22" t="str"/>
      <x:c r="G26" s="22" t="str">
        <x:v>calculated</x:v>
      </x:c>
      <x:c r="H26" s="22" t="str">
        <x:v>PASS</x:v>
      </x:c>
      <x:c r="I26" s="22" t="str"/>
    </x:row>
    <x:row r="27" ht="26.399999618530273" hidden="0" customHeight="1">
      <x:c r="A27" s="22" t="str">
        <x:v>40_VAC</x:v>
      </x:c>
      <x:c r="B27" s="22" t="str">
        <x:v>recommended_high_side_ohm</x:v>
      </x:c>
      <x:c r="C27" s="22" t="n">
        <x:v>1576965.8048217357</x:v>
      </x:c>
      <x:c r="D27" s="22" t="str">
        <x:v>ohm</x:v>
      </x:c>
      <x:c r="E27" s="22" t="str">
        <x:v>Rbottom*(Vdesign/Vtarget-1)</x:v>
      </x:c>
      <x:c r="F27" s="22" t="str"/>
      <x:c r="G27" s="22" t="str">
        <x:v>calculated</x:v>
      </x:c>
      <x:c r="H27" s="22" t="str">
        <x:v>FAIL</x:v>
      </x:c>
      <x:c r="I27" s="22" t="str"/>
    </x:row>
    <x:row r="28" ht="26.399999618530273" hidden="0" customHeight="1">
      <x:c r="A28" s="22" t="str">
        <x:v>40_VAC</x:v>
      </x:c>
      <x:c r="B28" s="22" t="str">
        <x:v>adc_output_min_v</x:v>
      </x:c>
      <x:c r="C28" s="22" t="n">
        <x:v>0.21816749789634327</x:v>
      </x:c>
      <x:c r="D28" s="22" t="str">
        <x:v>V</x:v>
      </x:c>
      <x:c r="E28" s="22" t="str"/>
      <x:c r="F28" s="22" t="str"/>
      <x:c r="G28" s="22" t="str">
        <x:v>calculated</x:v>
      </x:c>
      <x:c r="H28" s="22" t="str">
        <x:v>FAIL</x:v>
      </x:c>
      <x:c r="I28" s="22" t="str"/>
    </x:row>
    <x:row r="29" ht="26.399999618530273" hidden="0" customHeight="1">
      <x:c r="A29" s="22" t="str">
        <x:v>40_VAC</x:v>
      </x:c>
      <x:c r="B29" s="22" t="str">
        <x:v>adc_output_max_v</x:v>
      </x:c>
      <x:c r="C29" s="22" t="n">
        <x:v>3.081832502103657</x:v>
      </x:c>
      <x:c r="D29" s="22" t="str">
        <x:v>V</x:v>
      </x:c>
      <x:c r="E29" s="22" t="str"/>
      <x:c r="F29" s="22" t="str"/>
      <x:c r="G29" s="22" t="str">
        <x:v>calculated</x:v>
      </x:c>
      <x:c r="H29" s="22" t="str">
        <x:v>FAIL</x:v>
      </x:c>
      <x:c r="I29" s="22" t="str"/>
    </x:row>
    <x:row r="30" ht="26.399999618530273" hidden="0" customHeight="1">
      <x:c r="A30" s="22" t="str">
        <x:v>40_VAC</x:v>
      </x:c>
      <x:c r="B30" s="22" t="str">
        <x:v>vac_per_code_v</x:v>
      </x:c>
      <x:c r="C30" s="22" t="n">
        <x:v>0.220458984375</x:v>
      </x:c>
      <x:c r="D30" s="22" t="str">
        <x:v>V/code</x:v>
      </x:c>
      <x:c r="E30" s="22" t="str">
        <x:v>Vlsb/(Kdivider*Gain)</x:v>
      </x:c>
      <x:c r="F30" s="22" t="str"/>
      <x:c r="G30" s="22" t="str">
        <x:v>calculated</x:v>
      </x:c>
      <x:c r="H30" s="22" t="str">
        <x:v>PASS</x:v>
      </x:c>
      <x:c r="I30" s="22" t="str"/>
    </x:row>
    <x:row r="31" ht="26.399999618530273" hidden="0" customHeight="1">
      <x:c r="A31" s="22" t="str">
        <x:v>21_IAC_Filter</x:v>
      </x:c>
      <x:c r="B31" s="22" t="str">
        <x:v>rc_cutoff_hz</x:v>
      </x:c>
      <x:c r="C31" s="22" t="n">
        <x:v>159154.94309189534</x:v>
      </x:c>
      <x:c r="D31" s="22" t="str">
        <x:v>Hz</x:v>
      </x:c>
      <x:c r="E31" s="22" t="str">
        <x:v>1/(2*pi*R*C)</x:v>
      </x:c>
      <x:c r="F31" s="22" t="str"/>
      <x:c r="G31" s="22" t="str">
        <x:v>calculated</x:v>
      </x:c>
      <x:c r="H31" s="22" t="str">
        <x:v>PASS</x:v>
      </x:c>
      <x:c r="I31" s="22" t="str"/>
    </x:row>
    <x:row r="32" ht="26.399999618530273" hidden="0" customHeight="1">
      <x:c r="A32" s="22" t="str">
        <x:v>21_IAC_Filter</x:v>
      </x:c>
      <x:c r="B32" s="22" t="str">
        <x:v>effective_bandwidth_hz</x:v>
      </x:c>
      <x:c r="C32" s="22" t="n">
        <x:v>159154.94309189534</x:v>
      </x:c>
      <x:c r="D32" s="22" t="str">
        <x:v>Hz</x:v>
      </x:c>
      <x:c r="E32" s="22" t="str">
        <x:v>min(RC cutoff, sensor bandwidth)</x:v>
      </x:c>
      <x:c r="F32" s="22" t="str"/>
      <x:c r="G32" s="22" t="str">
        <x:v>calculated</x:v>
      </x:c>
      <x:c r="H32" s="22" t="str">
        <x:v>PASS</x:v>
      </x:c>
      <x:c r="I32" s="22" t="str"/>
    </x:row>
    <x:row r="33" ht="15" hidden="0" customHeight="1">
      <x:c r="A33" s="22" t="str">
        <x:v>21_IAC_Filter</x:v>
      </x:c>
      <x:c r="B33" s="22" t="str">
        <x:v>required_bandwidth_hz</x:v>
      </x:c>
      <x:c r="C33" s="22" t="n">
        <x:v>15000</x:v>
      </x:c>
      <x:c r="D33" s="22" t="str">
        <x:v>Hz</x:v>
      </x:c>
      <x:c r="E33" s="22" t="str">
        <x:v>max(Kbw*floop, floop/tan(phi_budget))</x:v>
      </x:c>
      <x:c r="F33" s="22" t="str"/>
      <x:c r="G33" s="22" t="str">
        <x:v>calculated</x:v>
      </x:c>
      <x:c r="H33" s="22" t="str">
        <x:v>PASS</x:v>
      </x:c>
      <x:c r="I33" s="22" t="str"/>
    </x:row>
    <x:row r="34" ht="26.399999618530273" hidden="0" customHeight="1">
      <x:c r="A34" s="22" t="str">
        <x:v>21_IAC_Filter</x:v>
      </x:c>
      <x:c r="B34" s="22" t="str">
        <x:v>loop_gain_ratio</x:v>
      </x:c>
      <x:c r="C34" s="22" t="n">
        <x:v>0.9998223944475859</x:v>
      </x:c>
      <x:c r="D34" s="22" t="str">
        <x:v>pu</x:v>
      </x:c>
      <x:c r="E34" s="22" t="str">
        <x:v>1/sqrt(1+(floop/fc)^2)</x:v>
      </x:c>
      <x:c r="F34" s="22" t="str"/>
      <x:c r="G34" s="22" t="str">
        <x:v>calculated</x:v>
      </x:c>
      <x:c r="H34" s="22" t="str">
        <x:v>PASS</x:v>
      </x:c>
      <x:c r="I34" s="22" t="str"/>
    </x:row>
    <x:row r="35" ht="26.399999618530273" hidden="0" customHeight="1">
      <x:c r="A35" s="22" t="str">
        <x:v>21_IAC_Filter</x:v>
      </x:c>
      <x:c r="B35" s="22" t="str">
        <x:v>loop_phase_loss_deg</x:v>
      </x:c>
      <x:c r="C35" s="22" t="n">
        <x:v>1.0798721171883547</x:v>
      </x:c>
      <x:c r="D35" s="22" t="str">
        <x:v>deg</x:v>
      </x:c>
      <x:c r="E35" s="22" t="str">
        <x:v>atan(floop/fc)</x:v>
      </x:c>
      <x:c r="F35" s="22" t="str"/>
      <x:c r="G35" s="22" t="str">
        <x:v>calculated</x:v>
      </x:c>
      <x:c r="H35" s="22" t="str">
        <x:v>PASS</x:v>
      </x:c>
      <x:c r="I35" s="22" t="str"/>
    </x:row>
    <x:row r="36" ht="26.399999618530273" hidden="0" customHeight="1">
      <x:c r="A36" s="22" t="str">
        <x:v>21_IAC_Filter</x:v>
      </x:c>
      <x:c r="B36" s="22" t="str">
        <x:v>switching_attenuation_db</x:v>
      </x:c>
      <x:c r="C36" s="22" t="n">
        <x:v>-2.7606280443612286</x:v>
      </x:c>
      <x:c r="D36" s="22" t="str">
        <x:v>dB</x:v>
      </x:c>
      <x:c r="E36" s="22" t="str">
        <x:v>-10*log10(1+(fsw/fc)^2)</x:v>
      </x:c>
      <x:c r="F36" s="22" t="str"/>
      <x:c r="G36" s="22" t="str">
        <x:v>calculated</x:v>
      </x:c>
      <x:c r="H36" s="22" t="str">
        <x:v>PASS</x:v>
      </x:c>
      <x:c r="I36" s="22" t="str"/>
    </x:row>
    <x:row r="37" ht="26.399999618530273" hidden="0" customHeight="1">
      <x:c r="A37" s="22" t="str">
        <x:v>42_VAC_Filter</x:v>
      </x:c>
      <x:c r="B37" s="22" t="str">
        <x:v>rc_cutoff_hz</x:v>
      </x:c>
      <x:c r="C37" s="22" t="n">
        <x:v>338627.5384933943</x:v>
      </x:c>
      <x:c r="D37" s="22" t="str">
        <x:v>Hz</x:v>
      </x:c>
      <x:c r="E37" s="22" t="str">
        <x:v>1/(2*pi*R*C)</x:v>
      </x:c>
      <x:c r="F37" s="22" t="str"/>
      <x:c r="G37" s="22" t="str">
        <x:v>calculated</x:v>
      </x:c>
      <x:c r="H37" s="22" t="str">
        <x:v>PASS</x:v>
      </x:c>
      <x:c r="I37" s="22" t="str"/>
    </x:row>
    <x:row r="38" ht="15" hidden="0" customHeight="1">
      <x:c r="A38" s="22" t="str">
        <x:v>42_VAC_Filter</x:v>
      </x:c>
      <x:c r="B38" s="22" t="str">
        <x:v>effective_bandwidth_hz</x:v>
      </x:c>
      <x:c r="C38" s="22" t="n">
        <x:v>145000</x:v>
      </x:c>
      <x:c r="D38" s="22" t="str">
        <x:v>Hz</x:v>
      </x:c>
      <x:c r="E38" s="22" t="str">
        <x:v>min(RC cutoff, sensor bandwidth)</x:v>
      </x:c>
      <x:c r="F38" s="22" t="str"/>
      <x:c r="G38" s="22" t="str">
        <x:v>calculated</x:v>
      </x:c>
      <x:c r="H38" s="22" t="str">
        <x:v>PASS</x:v>
      </x:c>
      <x:c r="I38" s="22" t="str"/>
    </x:row>
    <x:row r="39" ht="26.399999618530273" hidden="0" customHeight="1">
      <x:c r="A39" s="22" t="str">
        <x:v>42_VAC_Filter</x:v>
      </x:c>
      <x:c r="B39" s="22" t="str">
        <x:v>required_bandwidth_hz</x:v>
      </x:c>
      <x:c r="C39" s="22" t="n">
        <x:v>342.9015690828403</x:v>
      </x:c>
      <x:c r="D39" s="22" t="str">
        <x:v>Hz</x:v>
      </x:c>
      <x:c r="E39" s="22" t="str">
        <x:v>max(Kbw*floop, floop/tan(phi_budget))</x:v>
      </x:c>
      <x:c r="F39" s="22" t="str"/>
      <x:c r="G39" s="22" t="str">
        <x:v>calculated</x:v>
      </x:c>
      <x:c r="H39" s="22" t="str">
        <x:v>PASS</x:v>
      </x:c>
      <x:c r="I39" s="22" t="str"/>
    </x:row>
    <x:row r="40" ht="26.399999618530273" hidden="0" customHeight="1">
      <x:c r="A40" s="22" t="str">
        <x:v>42_VAC_Filter</x:v>
      </x:c>
      <x:c r="B40" s="22" t="str">
        <x:v>loop_gain_ratio</x:v>
      </x:c>
      <x:c r="C40" s="22" t="n">
        <x:v>0.9999999785969091</x:v>
      </x:c>
      <x:c r="D40" s="22" t="str">
        <x:v>pu</x:v>
      </x:c>
      <x:c r="E40" s="22" t="str">
        <x:v>1/sqrt(1+(floop/fc)^2)</x:v>
      </x:c>
      <x:c r="F40" s="22" t="str"/>
      <x:c r="G40" s="22" t="str">
        <x:v>calculated</x:v>
      </x:c>
      <x:c r="H40" s="22" t="str">
        <x:v>PASS</x:v>
      </x:c>
      <x:c r="I40" s="22" t="str"/>
    </x:row>
    <x:row r="41" ht="26.399999618530273" hidden="0" customHeight="1">
      <x:c r="A41" s="22" t="str">
        <x:v>42_VAC_Filter</x:v>
      </x:c>
      <x:c r="B41" s="22" t="str">
        <x:v>loop_phase_loss_deg</x:v>
      </x:c>
      <x:c r="C41" s="22" t="n">
        <x:v>0.011854299040457476</x:v>
      </x:c>
      <x:c r="D41" s="22" t="str">
        <x:v>deg</x:v>
      </x:c>
      <x:c r="E41" s="22" t="str">
        <x:v>atan(floop/fc)</x:v>
      </x:c>
      <x:c r="F41" s="22" t="str"/>
      <x:c r="G41" s="22" t="str">
        <x:v>calculated</x:v>
      </x:c>
      <x:c r="H41" s="22" t="str">
        <x:v>PASS</x:v>
      </x:c>
      <x:c r="I41" s="22" t="str"/>
    </x:row>
    <x:row r="42" ht="26.399999618530273" hidden="0" customHeight="1">
      <x:c r="A42" s="22" t="str">
        <x:v>42_VAC_Filter</x:v>
      </x:c>
      <x:c r="B42" s="22" t="str">
        <x:v>switching_attenuation_db</x:v>
      </x:c>
      <x:c r="C42" s="22" t="n">
        <x:v>-3.1600277531941905</x:v>
      </x:c>
      <x:c r="D42" s="22" t="str">
        <x:v>dB</x:v>
      </x:c>
      <x:c r="E42" s="22" t="str">
        <x:v>-10*log10(1+(fsw/fc)^2)</x:v>
      </x:c>
      <x:c r="F42" s="22" t="str"/>
      <x:c r="G42" s="22" t="str">
        <x:v>calculated</x:v>
      </x:c>
      <x:c r="H42" s="22" t="str">
        <x:v>PASS</x:v>
      </x:c>
      <x:c r="I42" s="22" t="str"/>
    </x:row>
    <x:row r="43" ht="15" hidden="0" customHeight="1">
      <x:c r="A43" s="22" t="str">
        <x:v>30_IDC_Shunt</x:v>
      </x:c>
      <x:c r="B43" s="22" t="str">
        <x:v>actual_shunt_ohm</x:v>
      </x:c>
      <x:c r="C43" s="22" t="n">
        <x:v>0.001</x:v>
      </x:c>
      <x:c r="D43" s="22" t="str">
        <x:v>ohm</x:v>
      </x:c>
      <x:c r="E43" s="22" t="str"/>
      <x:c r="F43" s="22" t="str"/>
      <x:c r="G43" s="22" t="str">
        <x:v>calculated</x:v>
      </x:c>
      <x:c r="H43" s="22" t="str">
        <x:v>PASS</x:v>
      </x:c>
      <x:c r="I43" s="22" t="str"/>
    </x:row>
    <x:row r="44" ht="26.399999618530273" hidden="0" customHeight="1">
      <x:c r="A44" s="22" t="str">
        <x:v>30_IDC_Shunt</x:v>
      </x:c>
      <x:c r="B44" s="22" t="str">
        <x:v>max_shunt_adc_ohm</x:v>
      </x:c>
      <x:c r="C44" s="22" t="n">
        <x:v>0.004751221303948576</x:v>
      </x:c>
      <x:c r="D44" s="22" t="str">
        <x:v>ohm</x:v>
      </x:c>
      <x:c r="E44" s="22" t="str"/>
      <x:c r="F44" s="22" t="str"/>
      <x:c r="G44" s="22" t="str">
        <x:v>calculated</x:v>
      </x:c>
      <x:c r="H44" s="22" t="str">
        <x:v>PASS</x:v>
      </x:c>
      <x:c r="I44" s="22" t="str"/>
    </x:row>
    <x:row r="45" ht="26.399999618530273" hidden="0" customHeight="1">
      <x:c r="A45" s="22" t="str">
        <x:v>30_IDC_Shunt</x:v>
      </x:c>
      <x:c r="B45" s="22" t="str">
        <x:v>max_shunt_input_ohm</x:v>
      </x:c>
      <x:c r="C45" s="22" t="n">
        <x:v>0.005453575757575757</x:v>
      </x:c>
      <x:c r="D45" s="22" t="str">
        <x:v>ohm</x:v>
      </x:c>
      <x:c r="E45" s="22" t="str"/>
      <x:c r="F45" s="22" t="str"/>
      <x:c r="G45" s="22" t="str">
        <x:v>calculated</x:v>
      </x:c>
      <x:c r="H45" s="22" t="str">
        <x:v>PASS</x:v>
      </x:c>
      <x:c r="I45" s="22" t="str"/>
    </x:row>
    <x:row r="46" ht="26.399999618530273" hidden="0" customHeight="1">
      <x:c r="A46" s="22" t="str">
        <x:v>30_IDC_Shunt</x:v>
      </x:c>
      <x:c r="B46" s="22" t="str">
        <x:v>recommended_shunt_max_ohm</x:v>
      </x:c>
      <x:c r="C46" s="22" t="n">
        <x:v>0.004751221303948576</x:v>
      </x:c>
      <x:c r="D46" s="22" t="str">
        <x:v>ohm</x:v>
      </x:c>
      <x:c r="E46" s="22" t="str">
        <x:v>min(R_adc,R_input)</x:v>
      </x:c>
      <x:c r="F46" s="22" t="str"/>
      <x:c r="G46" s="22" t="str">
        <x:v>calculated</x:v>
      </x:c>
      <x:c r="H46" s="22" t="str">
        <x:v>PASS</x:v>
      </x:c>
      <x:c r="I46" s="22" t="str"/>
    </x:row>
    <x:row r="47" ht="26.399999618530273" hidden="0" customHeight="1">
      <x:c r="A47" s="22" t="str">
        <x:v>30_IDC_Shunt</x:v>
      </x:c>
      <x:c r="B47" s="22" t="str">
        <x:v>effective_sensitivity_v_per_a</x:v>
      </x:c>
      <x:c r="C47" s="22" t="n">
        <x:v>0.02578125</x:v>
      </x:c>
      <x:c r="D47" s="22" t="str">
        <x:v>V/A</x:v>
      </x:c>
      <x:c r="E47" s="22" t="str">
        <x:v>Rshunt*Vref/(2*Vclip)</x:v>
      </x:c>
      <x:c r="F47" s="22" t="str"/>
      <x:c r="G47" s="22" t="str">
        <x:v>calculated</x:v>
      </x:c>
      <x:c r="H47" s="22" t="str">
        <x:v>PASS</x:v>
      </x:c>
      <x:c r="I47" s="22" t="str"/>
    </x:row>
    <x:row r="48" ht="15" hidden="0" customHeight="1">
      <x:c r="A48" s="22" t="str">
        <x:v>30_IDC_Shunt</x:v>
      </x:c>
      <x:c r="B48" s="22" t="str">
        <x:v>zero_adc_v</x:v>
      </x:c>
      <x:c r="C48" s="22" t="n">
        <x:v>1.65</x:v>
      </x:c>
      <x:c r="D48" s="22" t="str">
        <x:v>V</x:v>
      </x:c>
      <x:c r="E48" s="22" t="str"/>
      <x:c r="F48" s="22" t="str"/>
      <x:c r="G48" s="22" t="str">
        <x:v>calculated</x:v>
      </x:c>
      <x:c r="H48" s="22" t="str">
        <x:v>PASS</x:v>
      </x:c>
      <x:c r="I48" s="22" t="str"/>
    </x:row>
    <x:row r="49" ht="26.399999618530273" hidden="0" customHeight="1">
      <x:c r="A49" s="22" t="str">
        <x:v>30_IDC_Shunt</x:v>
      </x:c>
      <x:c r="B49" s="22" t="str">
        <x:v>adc_min_v</x:v>
      </x:c>
      <x:c r="C49" s="22" t="n">
        <x:v>1.4079569701280226</x:v>
      </x:c>
      <x:c r="D49" s="22" t="str">
        <x:v>V</x:v>
      </x:c>
      <x:c r="E49" s="22" t="str"/>
      <x:c r="F49" s="22" t="str"/>
      <x:c r="G49" s="22" t="str">
        <x:v>calculated</x:v>
      </x:c>
      <x:c r="H49" s="22" t="str">
        <x:v>PASS</x:v>
      </x:c>
      <x:c r="I49" s="22" t="str"/>
    </x:row>
    <x:row r="50" ht="26.399999618530273" hidden="0" customHeight="1">
      <x:c r="A50" s="22" t="str">
        <x:v>30_IDC_Shunt</x:v>
      </x:c>
      <x:c r="B50" s="22" t="str">
        <x:v>adc_max_v</x:v>
      </x:c>
      <x:c r="C50" s="22" t="n">
        <x:v>1.8920430298719773</x:v>
      </x:c>
      <x:c r="D50" s="22" t="str">
        <x:v>V</x:v>
      </x:c>
      <x:c r="E50" s="22" t="str"/>
      <x:c r="F50" s="22" t="str"/>
      <x:c r="G50" s="22" t="str">
        <x:v>calculated</x:v>
      </x:c>
      <x:c r="H50" s="22" t="str">
        <x:v>PASS</x:v>
      </x:c>
      <x:c r="I50" s="22" t="str"/>
    </x:row>
    <x:row r="51" ht="26.399999618530273" hidden="0" customHeight="1">
      <x:c r="A51" s="22" t="str">
        <x:v>30_IDC_Shunt</x:v>
      </x:c>
      <x:c r="B51" s="22" t="str">
        <x:v>current_per_code_a</x:v>
      </x:c>
      <x:c r="C51" s="22" t="n">
        <x:v>0.02840909090909091</x:v>
      </x:c>
      <x:c r="D51" s="22" t="str">
        <x:v>A/code</x:v>
      </x:c>
      <x:c r="E51" s="22" t="str">
        <x:v>Vlsb/Seff</x:v>
      </x:c>
      <x:c r="F51" s="22" t="str"/>
      <x:c r="G51" s="22" t="str">
        <x:v>calculated</x:v>
      </x:c>
      <x:c r="H51" s="22" t="str">
        <x:v>PASS</x:v>
      </x:c>
      <x:c r="I51" s="22" t="str"/>
    </x:row>
    <x:row r="52" ht="26.399999618530273" hidden="0" customHeight="1">
      <x:c r="A52" s="22" t="str">
        <x:v>30_IDC_Shunt</x:v>
      </x:c>
      <x:c r="B52" s="22" t="str">
        <x:v>adc_utilization</x:v>
      </x:c>
      <x:c r="C52" s="22" t="n">
        <x:v>0.16136201991465157</x:v>
      </x:c>
      <x:c r="D52" s="22" t="str">
        <x:v>pu</x:v>
      </x:c>
      <x:c r="E52" s="22" t="str"/>
      <x:c r="F52" s="22" t="str"/>
      <x:c r="G52" s="22" t="str">
        <x:v>calculated</x:v>
      </x:c>
      <x:c r="H52" s="22" t="str">
        <x:v>PASS</x:v>
      </x:c>
      <x:c r="I52" s="22" t="str"/>
    </x:row>
    <x:row r="53" ht="26.399999618530273" hidden="0" customHeight="1">
      <x:c r="A53" s="22" t="str">
        <x:v>30_IDC_Shunt</x:v>
      </x:c>
      <x:c r="B53" s="22" t="str">
        <x:v>continuous_shunt_power_w</x:v>
      </x:c>
      <x:c r="C53" s="22" t="n">
        <x:v>0.05058588572850757</x:v>
      </x:c>
      <x:c r="D53" s="22" t="str">
        <x:v>W</x:v>
      </x:c>
      <x:c r="E53" s="22" t="str">
        <x:v>Irms^2*R</x:v>
      </x:c>
      <x:c r="F53" s="22" t="str"/>
      <x:c r="G53" s="22" t="str">
        <x:v>calculated</x:v>
      </x:c>
      <x:c r="H53" s="22" t="str">
        <x:v>PASS</x:v>
      </x:c>
      <x:c r="I53" s="22" t="str"/>
    </x:row>
    <x:row r="54" ht="26.399999618530273" hidden="0" customHeight="1">
      <x:c r="A54" s="22" t="str">
        <x:v>30_IDC_Shunt</x:v>
      </x:c>
      <x:c r="B54" s="22" t="str">
        <x:v>peak_shunt_power_w</x:v>
      </x:c>
      <x:c r="C54" s="22" t="n">
        <x:v>0.08814084729335163</x:v>
      </x:c>
      <x:c r="D54" s="22" t="str">
        <x:v>W</x:v>
      </x:c>
      <x:c r="E54" s="22" t="str">
        <x:v>Ipeak^2*R</x:v>
      </x:c>
      <x:c r="F54" s="22" t="str"/>
      <x:c r="G54" s="22" t="str">
        <x:v>calculated</x:v>
      </x:c>
      <x:c r="H54" s="22" t="str">
        <x:v>PASS</x:v>
      </x:c>
      <x:c r="I54" s="22" t="str"/>
    </x:row>
    <x:row r="55" ht="26.399999618530273" hidden="0" customHeight="1">
      <x:c r="A55" s="22" t="str">
        <x:v>30_IDC_Shunt</x:v>
      </x:c>
      <x:c r="B55" s="22" t="str">
        <x:v>equivalent_offset_current_a</x:v>
      </x:c>
      <x:c r="C55" s="22"/>
      <x:c r="D55" s="22" t="str">
        <x:v>A</x:v>
      </x:c>
      <x:c r="E55" s="22" t="str">
        <x:v>Vos/Rshunt</x:v>
      </x:c>
      <x:c r="F55" s="22" t="str"/>
      <x:c r="G55" s="22" t="str">
        <x:v>missing input</x:v>
      </x:c>
      <x:c r="H55" s="22" t="str">
        <x:v>NOT_EVALUATED</x:v>
      </x:c>
      <x:c r="I55" s="22" t="str">
        <x:v>Enter channels.idc.amplifier.input_offset_v.</x:v>
      </x:c>
    </x:row>
    <x:row r="56" ht="15" hidden="0" customHeight="1">
      <x:c r="A56" s="22" t="str">
        <x:v>41_VDC</x:v>
      </x:c>
      <x:c r="B56" s="22" t="str">
        <x:v>vdc_design_max_v</x:v>
      </x:c>
      <x:c r="C56" s="22" t="n">
        <x:v>482.99999999999994</x:v>
      </x:c>
      <x:c r="D56" s="22" t="str">
        <x:v>V</x:v>
      </x:c>
      <x:c r="E56" s="22" t="str">
        <x:v>Vdc_max*Kmargin</x:v>
      </x:c>
      <x:c r="F56" s="22" t="str"/>
      <x:c r="G56" s="22" t="str">
        <x:v>calculated</x:v>
      </x:c>
      <x:c r="H56" s="22" t="str">
        <x:v>PASS</x:v>
      </x:c>
      <x:c r="I56" s="22" t="str"/>
    </x:row>
    <x:row r="57" ht="15" hidden="0" customHeight="1">
      <x:c r="A57" s="22" t="str">
        <x:v>41_VDC</x:v>
      </x:c>
      <x:c r="B57" s="22" t="str">
        <x:v>architecture</x:v>
      </x:c>
      <x:c r="C57" s="22" t="str">
        <x:v>direct_hv</x:v>
      </x:c>
      <x:c r="D57" s="22" t="str"/>
      <x:c r="E57" s="22" t="str"/>
      <x:c r="F57" s="22" t="str"/>
      <x:c r="G57" s="22" t="str">
        <x:v>calculated</x:v>
      </x:c>
      <x:c r="H57" s="22" t="str">
        <x:v>PASS</x:v>
      </x:c>
      <x:c r="I57" s="22" t="str"/>
    </x:row>
    <x:row r="58" ht="26.399999618530273" hidden="0" customHeight="1">
      <x:c r="A58" s="22" t="str">
        <x:v>41_VDC</x:v>
      </x:c>
      <x:c r="B58" s="22" t="str">
        <x:v>sensor_transfer_ratio</x:v>
      </x:c>
      <x:c r="C58" s="22" t="n">
        <x:v>0.002576112412177986</x:v>
      </x:c>
      <x:c r="D58" s="22" t="str">
        <x:v>V/V</x:v>
      </x:c>
      <x:c r="E58" s="22" t="str">
        <x:v>Vref/Vclip</x:v>
      </x:c>
      <x:c r="F58" s="22" t="str"/>
      <x:c r="G58" s="22" t="str">
        <x:v>calculated</x:v>
      </x:c>
      <x:c r="H58" s="22" t="str">
        <x:v>PASS</x:v>
      </x:c>
      <x:c r="I58" s="22" t="str"/>
    </x:row>
    <x:row r="59" ht="26.399999618530273" hidden="0" customHeight="1">
      <x:c r="A59" s="22" t="str">
        <x:v>41_VDC</x:v>
      </x:c>
      <x:c r="B59" s="22" t="str">
        <x:v>adc_voltage_at_design_max</x:v>
      </x:c>
      <x:c r="C59" s="22" t="n">
        <x:v>1.244262295081967</x:v>
      </x:c>
      <x:c r="D59" s="22" t="str">
        <x:v>V</x:v>
      </x:c>
      <x:c r="E59" s="22" t="str"/>
      <x:c r="F59" s="22" t="str"/>
      <x:c r="G59" s="22" t="str">
        <x:v>calculated</x:v>
      </x:c>
      <x:c r="H59" s="22" t="str">
        <x:v>PASS</x:v>
      </x:c>
      <x:c r="I59" s="22" t="str"/>
    </x:row>
    <x:row r="60" ht="26.399999618530273" hidden="0" customHeight="1">
      <x:c r="A60" s="22" t="str">
        <x:v>41_VDC</x:v>
      </x:c>
      <x:c r="B60" s="22" t="str">
        <x:v>maximum_measurable_vdc_v</x:v>
      </x:c>
      <x:c r="C60" s="22" t="n">
        <x:v>1164.5454545454545</x:v>
      </x:c>
      <x:c r="D60" s="22" t="str">
        <x:v>V</x:v>
      </x:c>
      <x:c r="E60" s="22" t="str">
        <x:v>Vadc_fs/Ksensor</x:v>
      </x:c>
      <x:c r="F60" s="22" t="str"/>
      <x:c r="G60" s="22" t="str">
        <x:v>calculated</x:v>
      </x:c>
      <x:c r="H60" s="22" t="str">
        <x:v>PASS</x:v>
      </x:c>
      <x:c r="I60" s="22" t="str"/>
    </x:row>
    <x:row r="61" ht="26.399999618530273" hidden="0" customHeight="1">
      <x:c r="A61" s="22" t="str">
        <x:v>41_VDC</x:v>
      </x:c>
      <x:c r="B61" s="22" t="str">
        <x:v>vdc_per_code_v</x:v>
      </x:c>
      <x:c r="C61" s="22" t="n">
        <x:v>0.28431285511363635</x:v>
      </x:c>
      <x:c r="D61" s="22" t="str">
        <x:v>V/code</x:v>
      </x:c>
      <x:c r="E61" s="22" t="str">
        <x:v>Vlsb/Ksensor</x:v>
      </x:c>
      <x:c r="F61" s="22" t="str"/>
      <x:c r="G61" s="22" t="str">
        <x:v>calculated</x:v>
      </x:c>
      <x:c r="H61" s="22" t="str">
        <x:v>PASS</x:v>
      </x:c>
      <x:c r="I61" s="22" t="str"/>
    </x:row>
    <x:row r="62" ht="26.399999618530273" hidden="0" customHeight="1">
      <x:c r="A62" s="22" t="str">
        <x:v>41_VDC</x:v>
      </x:c>
      <x:c r="B62" s="22" t="str">
        <x:v>adc_utilization</x:v>
      </x:c>
      <x:c r="C62" s="22" t="n">
        <x:v>0.4147540983606557</x:v>
      </x:c>
      <x:c r="D62" s="22" t="str">
        <x:v>pu</x:v>
      </x:c>
      <x:c r="E62" s="22" t="str"/>
      <x:c r="F62" s="22" t="str"/>
      <x:c r="G62" s="22" t="str">
        <x:v>calculated</x:v>
      </x:c>
      <x:c r="H62" s="22" t="str">
        <x:v>PASS</x:v>
      </x:c>
      <x:c r="I62" s="22" t="str"/>
    </x:row>
    <x:row r="63" ht="26.399999618530273" hidden="0" customHeight="1">
      <x:c r="A63" s="22" t="str">
        <x:v>31_IDC_Filter</x:v>
      </x:c>
      <x:c r="B63" s="22" t="str">
        <x:v>rc_cutoff_hz</x:v>
      </x:c>
      <x:c r="C63" s="22" t="n">
        <x:v>6786.123015899687</x:v>
      </x:c>
      <x:c r="D63" s="22" t="str">
        <x:v>Hz</x:v>
      </x:c>
      <x:c r="E63" s="22" t="str">
        <x:v>1/(2*pi*R*C)</x:v>
      </x:c>
      <x:c r="F63" s="22" t="str"/>
      <x:c r="G63" s="22" t="str">
        <x:v>calculated</x:v>
      </x:c>
      <x:c r="H63" s="22" t="str">
        <x:v>PASS</x:v>
      </x:c>
      <x:c r="I63" s="22" t="str"/>
    </x:row>
    <x:row r="64" ht="26.399999618530273" hidden="0" customHeight="1">
      <x:c r="A64" s="22" t="str">
        <x:v>31_IDC_Filter</x:v>
      </x:c>
      <x:c r="B64" s="22" t="str">
        <x:v>effective_bandwidth_hz</x:v>
      </x:c>
      <x:c r="C64" s="22" t="n">
        <x:v>6786.123015899687</x:v>
      </x:c>
      <x:c r="D64" s="22" t="str">
        <x:v>Hz</x:v>
      </x:c>
      <x:c r="E64" s="22" t="str">
        <x:v>min(RC cutoff, sensor bandwidth)</x:v>
      </x:c>
      <x:c r="F64" s="22" t="str"/>
      <x:c r="G64" s="22" t="str">
        <x:v>calculated</x:v>
      </x:c>
      <x:c r="H64" s="22" t="str">
        <x:v>FAIL</x:v>
      </x:c>
      <x:c r="I64" s="22" t="str"/>
    </x:row>
    <x:row r="65" ht="15" hidden="0" customHeight="1">
      <x:c r="A65" s="22" t="str">
        <x:v>31_IDC_Filter</x:v>
      </x:c>
      <x:c r="B65" s="22" t="str">
        <x:v>required_bandwidth_hz</x:v>
      </x:c>
      <x:c r="C65" s="22" t="n">
        <x:v>10000</x:v>
      </x:c>
      <x:c r="D65" s="22" t="str">
        <x:v>Hz</x:v>
      </x:c>
      <x:c r="E65" s="22" t="str">
        <x:v>max(Kbw*floop, floop/tan(phi_budget))</x:v>
      </x:c>
      <x:c r="F65" s="22" t="str"/>
      <x:c r="G65" s="22" t="str">
        <x:v>calculated</x:v>
      </x:c>
      <x:c r="H65" s="22" t="str">
        <x:v>PASS</x:v>
      </x:c>
      <x:c r="I65" s="22" t="str"/>
    </x:row>
    <x:row r="66" ht="26.399999618530273" hidden="0" customHeight="1">
      <x:c r="A66" s="22" t="str">
        <x:v>31_IDC_Filter</x:v>
      </x:c>
      <x:c r="B66" s="22" t="str">
        <x:v>loop_gain_ratio</x:v>
      </x:c>
      <x:c r="C66" s="22" t="n">
        <x:v>0.9592091848328073</x:v>
      </x:c>
      <x:c r="D66" s="22" t="str">
        <x:v>pu</x:v>
      </x:c>
      <x:c r="E66" s="22" t="str">
        <x:v>1/sqrt(1+(floop/fc)^2)</x:v>
      </x:c>
      <x:c r="F66" s="22" t="str"/>
      <x:c r="G66" s="22" t="str">
        <x:v>calculated</x:v>
      </x:c>
      <x:c r="H66" s="22" t="str">
        <x:v>PASS</x:v>
      </x:c>
      <x:c r="I66" s="22" t="str"/>
    </x:row>
    <x:row r="67" ht="26.399999618530273" hidden="0" customHeight="1">
      <x:c r="A67" s="22" t="str">
        <x:v>31_IDC_Filter</x:v>
      </x:c>
      <x:c r="B67" s="22" t="str">
        <x:v>loop_phase_loss_deg</x:v>
      </x:c>
      <x:c r="C67" s="22" t="n">
        <x:v>16.421251669078007</x:v>
      </x:c>
      <x:c r="D67" s="22" t="str">
        <x:v>deg</x:v>
      </x:c>
      <x:c r="E67" s="22" t="str">
        <x:v>atan(floop/fc)</x:v>
      </x:c>
      <x:c r="F67" s="22" t="str"/>
      <x:c r="G67" s="22" t="str">
        <x:v>calculated</x:v>
      </x:c>
      <x:c r="H67" s="22" t="str">
        <x:v>FAIL</x:v>
      </x:c>
      <x:c r="I67" s="22" t="str"/>
    </x:row>
    <x:row r="68" ht="26.399999618530273" hidden="0" customHeight="1">
      <x:c r="A68" s="22" t="str">
        <x:v>31_IDC_Filter</x:v>
      </x:c>
      <x:c r="B68" s="22" t="str">
        <x:v>switching_attenuation_db</x:v>
      </x:c>
      <x:c r="C68" s="22" t="n">
        <x:v>-26.89827037859558</x:v>
      </x:c>
      <x:c r="D68" s="22" t="str">
        <x:v>dB</x:v>
      </x:c>
      <x:c r="E68" s="22" t="str">
        <x:v>-10*log10(1+(fsw/fc)^2)</x:v>
      </x:c>
      <x:c r="F68" s="22" t="str"/>
      <x:c r="G68" s="22" t="str">
        <x:v>calculated</x:v>
      </x:c>
      <x:c r="H68" s="22" t="str">
        <x:v>PASS</x:v>
      </x:c>
      <x:c r="I68" s="22" t="str"/>
    </x:row>
    <x:row r="69" ht="26.399999618530273" hidden="0" customHeight="1">
      <x:c r="A69" s="22" t="str">
        <x:v>43_VDC_Filter</x:v>
      </x:c>
      <x:c r="B69" s="22" t="str">
        <x:v>rc_cutoff_hz</x:v>
      </x:c>
      <x:c r="C69" s="22" t="n">
        <x:v>6786.123015899687</x:v>
      </x:c>
      <x:c r="D69" s="22" t="str">
        <x:v>Hz</x:v>
      </x:c>
      <x:c r="E69" s="22" t="str">
        <x:v>1/(2*pi*R*C)</x:v>
      </x:c>
      <x:c r="F69" s="22" t="str"/>
      <x:c r="G69" s="22" t="str">
        <x:v>calculated</x:v>
      </x:c>
      <x:c r="H69" s="22" t="str">
        <x:v>PASS</x:v>
      </x:c>
      <x:c r="I69" s="22" t="str"/>
    </x:row>
    <x:row r="70" ht="26.399999618530273" hidden="0" customHeight="1">
      <x:c r="A70" s="22" t="str">
        <x:v>43_VDC_Filter</x:v>
      </x:c>
      <x:c r="B70" s="22" t="str">
        <x:v>effective_bandwidth_hz</x:v>
      </x:c>
      <x:c r="C70" s="22" t="n">
        <x:v>6786.123015899687</x:v>
      </x:c>
      <x:c r="D70" s="22" t="str">
        <x:v>Hz</x:v>
      </x:c>
      <x:c r="E70" s="22" t="str">
        <x:v>min(RC cutoff, sensor bandwidth)</x:v>
      </x:c>
      <x:c r="F70" s="22" t="str"/>
      <x:c r="G70" s="22" t="str">
        <x:v>calculated</x:v>
      </x:c>
      <x:c r="H70" s="22" t="str">
        <x:v>PASS</x:v>
      </x:c>
      <x:c r="I70" s="22" t="str"/>
    </x:row>
    <x:row r="71" ht="26.399999618530273" hidden="0" customHeight="1">
      <x:c r="A71" s="22" t="str">
        <x:v>43_VDC_Filter</x:v>
      </x:c>
      <x:c r="B71" s="22" t="str">
        <x:v>required_bandwidth_hz</x:v>
      </x:c>
      <x:c r="C71" s="22" t="n">
        <x:v>228.60104605522685</x:v>
      </x:c>
      <x:c r="D71" s="22" t="str">
        <x:v>Hz</x:v>
      </x:c>
      <x:c r="E71" s="22" t="str">
        <x:v>max(Kbw*floop, floop/tan(phi_budget))</x:v>
      </x:c>
      <x:c r="F71" s="22" t="str"/>
      <x:c r="G71" s="22" t="str">
        <x:v>calculated</x:v>
      </x:c>
      <x:c r="H71" s="22" t="str">
        <x:v>PASS</x:v>
      </x:c>
      <x:c r="I71" s="22" t="str"/>
    </x:row>
    <x:row r="72" ht="26.399999618530273" hidden="0" customHeight="1">
      <x:c r="A72" s="22" t="str">
        <x:v>43_VDC_Filter</x:v>
      </x:c>
      <x:c r="B72" s="22" t="str">
        <x:v>loop_gain_ratio</x:v>
      </x:c>
      <x:c r="C72" s="22" t="n">
        <x:v>0.9999956570611909</x:v>
      </x:c>
      <x:c r="D72" s="22" t="str">
        <x:v>pu</x:v>
      </x:c>
      <x:c r="E72" s="22" t="str">
        <x:v>1/sqrt(1+(floop/fc)^2)</x:v>
      </x:c>
      <x:c r="F72" s="22" t="str"/>
      <x:c r="G72" s="22" t="str">
        <x:v>calculated</x:v>
      </x:c>
      <x:c r="H72" s="22" t="str">
        <x:v>PASS</x:v>
      </x:c>
      <x:c r="I72" s="22" t="str"/>
    </x:row>
    <x:row r="73" ht="26.399999618530273" hidden="0" customHeight="1">
      <x:c r="A73" s="22" t="str">
        <x:v>43_VDC_Filter</x:v>
      </x:c>
      <x:c r="B73" s="22" t="str">
        <x:v>loop_phase_loss_deg</x:v>
      </x:c>
      <x:c r="C73" s="22" t="n">
        <x:v>0.16886111109563232</x:v>
      </x:c>
      <x:c r="D73" s="22" t="str">
        <x:v>deg</x:v>
      </x:c>
      <x:c r="E73" s="22" t="str">
        <x:v>atan(floop/fc)</x:v>
      </x:c>
      <x:c r="F73" s="22" t="str"/>
      <x:c r="G73" s="22" t="str">
        <x:v>calculated</x:v>
      </x:c>
      <x:c r="H73" s="22" t="str">
        <x:v>PASS</x:v>
      </x:c>
      <x:c r="I73" s="22" t="str"/>
    </x:row>
    <x:row r="74" ht="26.399999618530273" hidden="0" customHeight="1">
      <x:c r="A74" s="22" t="str">
        <x:v>43_VDC_Filter</x:v>
      </x:c>
      <x:c r="B74" s="22" t="str">
        <x:v>switching_attenuation_db</x:v>
      </x:c>
      <x:c r="C74" s="22" t="n">
        <x:v>-26.89827037859558</x:v>
      </x:c>
      <x:c r="D74" s="22" t="str">
        <x:v>dB</x:v>
      </x:c>
      <x:c r="E74" s="22" t="str">
        <x:v>-10*log10(1+(fsw/fc)^2)</x:v>
      </x:c>
      <x:c r="F74" s="22" t="str"/>
      <x:c r="G74" s="22" t="str">
        <x:v>calculated</x:v>
      </x:c>
      <x:c r="H74" s="22" t="str">
        <x:v>PASS</x:v>
      </x:c>
      <x:c r="I74" s="22" t="str"/>
    </x:row>
    <x:row r="75" ht="26.399999618530273" hidden="0" customHeight="1">
      <x:c r="A75" s="22" t="str">
        <x:v>50_ADC_Timing</x:v>
      </x:c>
      <x:c r="B75" s="22" t="str">
        <x:v>adc_lsb_v</x:v>
      </x:c>
      <x:c r="C75" s="22" t="n">
        <x:v>0.000732421875</x:v>
      </x:c>
      <x:c r="D75" s="22" t="str">
        <x:v>V/code</x:v>
      </x:c>
      <x:c r="E75" s="22" t="str">
        <x:v>Vref/2^N</x:v>
      </x:c>
      <x:c r="F75" s="22" t="str"/>
      <x:c r="G75" s="22" t="str">
        <x:v>calculated</x:v>
      </x:c>
      <x:c r="H75" s="22" t="str">
        <x:v>PASS</x:v>
      </x:c>
      <x:c r="I75" s="22" t="str"/>
    </x:row>
    <x:row r="76" ht="15" hidden="0" customHeight="1">
      <x:c r="A76" s="22" t="str">
        <x:v>50_ADC_Timing</x:v>
      </x:c>
      <x:c r="B76" s="22" t="str">
        <x:v>configured_sample_cycles</x:v>
      </x:c>
      <x:c r="C76" s="22" t="n">
        <x:v>20</x:v>
      </x:c>
      <x:c r="D76" s="22" t="str">
        <x:v>SYSCLK</x:v>
      </x:c>
      <x:c r="E76" s="22" t="str"/>
      <x:c r="F76" s="22" t="str"/>
      <x:c r="G76" s="22" t="str">
        <x:v>calculated</x:v>
      </x:c>
      <x:c r="H76" s="22" t="str">
        <x:v>PASS</x:v>
      </x:c>
      <x:c r="I76" s="22" t="str"/>
    </x:row>
    <x:row r="77" ht="15" hidden="0" customHeight="1">
      <x:c r="A77" s="22" t="str">
        <x:v>50_ADC_Timing</x:v>
      </x:c>
      <x:c r="B77" s="22" t="str">
        <x:v>configured_sample_time_s</x:v>
      </x:c>
      <x:c r="C77" s="22" t="n">
        <x:v>1e-7</x:v>
      </x:c>
      <x:c r="D77" s="22" t="str">
        <x:v>s</x:v>
      </x:c>
      <x:c r="E77" s="22" t="str">
        <x:v>cycles/fsysclk</x:v>
      </x:c>
      <x:c r="F77" s="22" t="str"/>
      <x:c r="G77" s="22" t="str">
        <x:v>calculated</x:v>
      </x:c>
      <x:c r="H77" s="22" t="str">
        <x:v>PASS</x:v>
      </x:c>
      <x:c r="I77" s="22" t="str"/>
    </x:row>
    <x:row r="78" ht="26.399999618530273" hidden="0" customHeight="1">
      <x:c r="A78" s="22" t="str">
        <x:v>50_ADC_Timing</x:v>
      </x:c>
      <x:c r="B78" s="22" t="str">
        <x:v>simplified_tau_s</x:v>
      </x:c>
      <x:c r="C78" s="22" t="n">
        <x:v>3e-9</x:v>
      </x:c>
      <x:c r="D78" s="22" t="str">
        <x:v>s</x:v>
      </x:c>
      <x:c r="E78" s="22" t="str">
        <x:v>Rsource*Ctotal</x:v>
      </x:c>
      <x:c r="F78" s="22" t="str"/>
      <x:c r="G78" s="22" t="str">
        <x:v>calculated</x:v>
      </x:c>
      <x:c r="H78" s="22" t="str">
        <x:v>PASS</x:v>
      </x:c>
      <x:c r="I78" s="22" t="str"/>
    </x:row>
    <x:row r="79" ht="26.399999618530273" hidden="0" customHeight="1">
      <x:c r="A79" s="22" t="str">
        <x:v>50_ADC_Timing</x:v>
      </x:c>
      <x:c r="B79" s="22" t="str">
        <x:v>simplified_required_time_s</x:v>
      </x:c>
      <x:c r="C79" s="22" t="n">
        <x:v>2.7032740041837863e-8</x:v>
      </x:c>
      <x:c r="D79" s="22" t="str">
        <x:v>s</x:v>
      </x:c>
      <x:c r="E79" s="22" t="str">
        <x:v>-tau*ln(target_lsb/2^N)</x:v>
      </x:c>
      <x:c r="F79" s="22" t="str"/>
      <x:c r="G79" s="22" t="str">
        <x:v>calculated</x:v>
      </x:c>
      <x:c r="H79" s="22" t="str">
        <x:v>PASS</x:v>
      </x:c>
      <x:c r="I79" s="22" t="str"/>
    </x:row>
    <x:row r="80" ht="26.399999618530273" hidden="0" customHeight="1">
      <x:c r="A80" s="22" t="str">
        <x:v>50_ADC_Timing</x:v>
      </x:c>
      <x:c r="B80" s="22" t="str">
        <x:v>simplified_recommended_time_s</x:v>
      </x:c>
      <x:c r="C80" s="22" t="n">
        <x:v>4.0549110062756793e-8</x:v>
      </x:c>
      <x:c r="D80" s="22" t="str">
        <x:v>s</x:v>
      </x:c>
      <x:c r="E80" s="22" t="str">
        <x:v>treq*Ksafety</x:v>
      </x:c>
      <x:c r="F80" s="22" t="str"/>
      <x:c r="G80" s="22" t="str">
        <x:v>calculated</x:v>
      </x:c>
      <x:c r="H80" s="22" t="str">
        <x:v>PASS</x:v>
      </x:c>
      <x:c r="I80" s="22" t="str"/>
    </x:row>
    <x:row r="81" ht="15" hidden="0" customHeight="1">
      <x:c r="A81" s="22" t="str">
        <x:v>50_ADC_Timing</x:v>
      </x:c>
      <x:c r="B81" s="22" t="str">
        <x:v>simplified_recommended_cycles</x:v>
      </x:c>
      <x:c r="C81" s="22" t="n">
        <x:v>9</x:v>
      </x:c>
      <x:c r="D81" s="22" t="str">
        <x:v>SYSCLK</x:v>
      </x:c>
      <x:c r="E81" s="22" t="str">
        <x:v>ceil(trec*fsysclk)</x:v>
      </x:c>
      <x:c r="F81" s="22" t="str"/>
      <x:c r="G81" s="22" t="str">
        <x:v>calculated</x:v>
      </x:c>
      <x:c r="H81" s="22" t="str">
        <x:v>PASS</x:v>
      </x:c>
      <x:c r="I81" s="22" t="str"/>
    </x:row>
    <x:row r="82" ht="52.79999923706055" hidden="0" customHeight="1">
      <x:c r="A82" s="22" t="str">
        <x:v>50_ADC_Timing</x:v>
      </x:c>
      <x:c r="B82" s="22" t="str">
        <x:v>exact_recommended_cycles</x:v>
      </x:c>
      <x:c r="C82" s="22"/>
      <x:c r="D82" s="22" t="str">
        <x:v>SYSCLK</x:v>
      </x:c>
      <x:c r="E82" s="22" t="str"/>
      <x:c r="F82" s="22" t="str"/>
      <x:c r="G82" s="22" t="str">
        <x:v>missing device parameters</x:v>
      </x:c>
      <x:c r="H82" s="22" t="str">
        <x:v>NOT_EVALUATED</x:v>
      </x:c>
      <x:c r="I82" s="22" t="str">
        <x:v>Enter F29H85x sample capacitor and switch resistance from the applicable data sheet/model.</x:v>
      </x:c>
    </x:row>
    <x:row r="83" ht="26.399999618530273" hidden="0" customHeight="1">
      <x:c r="A83" s="22" t="str">
        <x:v>55_IAC_Delay</x:v>
      </x:c>
      <x:c r="B83" s="22" t="str">
        <x:v>sensor_delay_s</x:v>
      </x:c>
      <x:c r="C83" s="22" t="n">
        <x:v>5e-8</x:v>
      </x:c>
      <x:c r="D83" s="22" t="str">
        <x:v>s</x:v>
      </x:c>
      <x:c r="E83" s="22" t="str"/>
      <x:c r="F83" s="22" t="str"/>
      <x:c r="G83" s="22" t="str">
        <x:v>calculated</x:v>
      </x:c>
      <x:c r="H83" s="22" t="str">
        <x:v>PASS</x:v>
      </x:c>
      <x:c r="I83" s="22" t="str"/>
    </x:row>
    <x:row r="84" ht="15" hidden="0" customHeight="1">
      <x:c r="A84" s="22" t="str">
        <x:v>55_IAC_Delay</x:v>
      </x:c>
      <x:c r="B84" s="22" t="str">
        <x:v>isolation_delay_s</x:v>
      </x:c>
      <x:c r="C84" s="22" t="n">
        <x:v>0</x:v>
      </x:c>
      <x:c r="D84" s="22" t="str">
        <x:v>s</x:v>
      </x:c>
      <x:c r="E84" s="22" t="str"/>
      <x:c r="F84" s="22" t="str"/>
      <x:c r="G84" s="22" t="str">
        <x:v>calculated</x:v>
      </x:c>
      <x:c r="H84" s="22" t="str">
        <x:v>PASS</x:v>
      </x:c>
      <x:c r="I84" s="22" t="str"/>
    </x:row>
    <x:row r="85" ht="26.399999618530273" hidden="0" customHeight="1">
      <x:c r="A85" s="22" t="str">
        <x:v>55_IAC_Delay</x:v>
      </x:c>
      <x:c r="B85" s="22" t="str">
        <x:v>adc_delay_s</x:v>
      </x:c>
      <x:c r="C85" s="22"/>
      <x:c r="D85" s="22" t="str">
        <x:v>s</x:v>
      </x:c>
      <x:c r="E85" s="22" t="str"/>
      <x:c r="F85" s="22" t="str"/>
      <x:c r="G85" s="22" t="str">
        <x:v>calculated</x:v>
      </x:c>
      <x:c r="H85" s="22" t="str">
        <x:v>NOT_EVALUATED</x:v>
      </x:c>
      <x:c r="I85" s="22" t="str"/>
    </x:row>
    <x:row r="86" ht="26.399999618530273" hidden="0" customHeight="1">
      <x:c r="A86" s="22" t="str">
        <x:v>55_IAC_Delay</x:v>
      </x:c>
      <x:c r="B86" s="22" t="str">
        <x:v>isr_delay_s</x:v>
      </x:c>
      <x:c r="C86" s="22"/>
      <x:c r="D86" s="22" t="str">
        <x:v>s</x:v>
      </x:c>
      <x:c r="E86" s="22" t="str"/>
      <x:c r="F86" s="22" t="str"/>
      <x:c r="G86" s="22" t="str">
        <x:v>calculated</x:v>
      </x:c>
      <x:c r="H86" s="22" t="str">
        <x:v>NOT_EVALUATED</x:v>
      </x:c>
      <x:c r="I86" s="22" t="str"/>
    </x:row>
    <x:row r="87" ht="26.399999618530273" hidden="0" customHeight="1">
      <x:c r="A87" s="22" t="str">
        <x:v>55_IAC_Delay</x:v>
      </x:c>
      <x:c r="B87" s="22" t="str">
        <x:v>pwm_delay_s</x:v>
      </x:c>
      <x:c r="C87" s="22"/>
      <x:c r="D87" s="22" t="str">
        <x:v>s</x:v>
      </x:c>
      <x:c r="E87" s="22" t="str"/>
      <x:c r="F87" s="22" t="str"/>
      <x:c r="G87" s="22" t="str">
        <x:v>calculated</x:v>
      </x:c>
      <x:c r="H87" s="22" t="str">
        <x:v>NOT_EVALUATED</x:v>
      </x:c>
      <x:c r="I87" s="22" t="str"/>
    </x:row>
    <x:row r="88" ht="26.399999618530273" hidden="0" customHeight="1">
      <x:c r="A88" s="22" t="str">
        <x:v>55_IAC_Delay</x:v>
      </x:c>
      <x:c r="B88" s="22" t="str">
        <x:v>known_delay_total_s</x:v>
      </x:c>
      <x:c r="C88" s="22" t="n">
        <x:v>5e-8</x:v>
      </x:c>
      <x:c r="D88" s="22" t="str">
        <x:v>s</x:v>
      </x:c>
      <x:c r="E88" s="22" t="str">
        <x:v>sum(known delays)</x:v>
      </x:c>
      <x:c r="F88" s="22" t="str"/>
      <x:c r="G88" s="22" t="str">
        <x:v>calculated</x:v>
      </x:c>
      <x:c r="H88" s="22" t="str">
        <x:v>PASS</x:v>
      </x:c>
      <x:c r="I88" s="22" t="str"/>
    </x:row>
    <x:row r="89" ht="26.399999618530273" hidden="0" customHeight="1">
      <x:c r="A89" s="22" t="str">
        <x:v>55_IAC_Delay</x:v>
      </x:c>
      <x:c r="B89" s="22" t="str">
        <x:v>known_delay_phase_deg</x:v>
      </x:c>
      <x:c r="C89" s="22" t="n">
        <x:v>0.054</x:v>
      </x:c>
      <x:c r="D89" s="22" t="str">
        <x:v>deg</x:v>
      </x:c>
      <x:c r="E89" s="22" t="str">
        <x:v>360*floop*Tdelay</x:v>
      </x:c>
      <x:c r="F89" s="22" t="str"/>
      <x:c r="G89" s="22" t="str">
        <x:v>calculated</x:v>
      </x:c>
      <x:c r="H89" s="22" t="str">
        <x:v>NOT_EVALUATED</x:v>
      </x:c>
      <x:c r="I89" s="22" t="str"/>
    </x:row>
    <x:row r="90" ht="15" hidden="0" customHeight="1">
      <x:c r="A90" s="22" t="str">
        <x:v>55_IDC_Delay</x:v>
      </x:c>
      <x:c r="B90" s="22" t="str">
        <x:v>sensor_delay_s</x:v>
      </x:c>
      <x:c r="C90" s="22" t="n">
        <x:v>0</x:v>
      </x:c>
      <x:c r="D90" s="22" t="str">
        <x:v>s</x:v>
      </x:c>
      <x:c r="E90" s="22" t="str"/>
      <x:c r="F90" s="22" t="str"/>
      <x:c r="G90" s="22" t="str">
        <x:v>calculated</x:v>
      </x:c>
      <x:c r="H90" s="22" t="str">
        <x:v>PASS</x:v>
      </x:c>
      <x:c r="I90" s="22" t="str"/>
    </x:row>
    <x:row r="91" ht="26.399999618530273" hidden="0" customHeight="1">
      <x:c r="A91" s="22" t="str">
        <x:v>55_IDC_Delay</x:v>
      </x:c>
      <x:c r="B91" s="22" t="str">
        <x:v>isolation_delay_s</x:v>
      </x:c>
      <x:c r="C91" s="22"/>
      <x:c r="D91" s="22" t="str">
        <x:v>s</x:v>
      </x:c>
      <x:c r="E91" s="22" t="str"/>
      <x:c r="F91" s="22" t="str"/>
      <x:c r="G91" s="22" t="str">
        <x:v>calculated</x:v>
      </x:c>
      <x:c r="H91" s="22" t="str">
        <x:v>NOT_EVALUATED</x:v>
      </x:c>
      <x:c r="I91" s="22" t="str"/>
    </x:row>
    <x:row r="92" ht="26.399999618530273" hidden="0" customHeight="1">
      <x:c r="A92" s="22" t="str">
        <x:v>55_IDC_Delay</x:v>
      </x:c>
      <x:c r="B92" s="22" t="str">
        <x:v>adc_delay_s</x:v>
      </x:c>
      <x:c r="C92" s="22"/>
      <x:c r="D92" s="22" t="str">
        <x:v>s</x:v>
      </x:c>
      <x:c r="E92" s="22" t="str"/>
      <x:c r="F92" s="22" t="str"/>
      <x:c r="G92" s="22" t="str">
        <x:v>calculated</x:v>
      </x:c>
      <x:c r="H92" s="22" t="str">
        <x:v>NOT_EVALUATED</x:v>
      </x:c>
      <x:c r="I92" s="22" t="str"/>
    </x:row>
    <x:row r="93" ht="26.399999618530273" hidden="0" customHeight="1">
      <x:c r="A93" s="22" t="str">
        <x:v>55_IDC_Delay</x:v>
      </x:c>
      <x:c r="B93" s="22" t="str">
        <x:v>isr_delay_s</x:v>
      </x:c>
      <x:c r="C93" s="22"/>
      <x:c r="D93" s="22" t="str">
        <x:v>s</x:v>
      </x:c>
      <x:c r="E93" s="22" t="str"/>
      <x:c r="F93" s="22" t="str"/>
      <x:c r="G93" s="22" t="str">
        <x:v>calculated</x:v>
      </x:c>
      <x:c r="H93" s="22" t="str">
        <x:v>NOT_EVALUATED</x:v>
      </x:c>
      <x:c r="I93" s="22" t="str"/>
    </x:row>
    <x:row r="94" ht="26.399999618530273" hidden="0" customHeight="1">
      <x:c r="A94" s="22" t="str">
        <x:v>55_IDC_Delay</x:v>
      </x:c>
      <x:c r="B94" s="22" t="str">
        <x:v>pwm_delay_s</x:v>
      </x:c>
      <x:c r="C94" s="22"/>
      <x:c r="D94" s="22" t="str">
        <x:v>s</x:v>
      </x:c>
      <x:c r="E94" s="22" t="str"/>
      <x:c r="F94" s="22" t="str"/>
      <x:c r="G94" s="22" t="str">
        <x:v>calculated</x:v>
      </x:c>
      <x:c r="H94" s="22" t="str">
        <x:v>NOT_EVALUATED</x:v>
      </x:c>
      <x:c r="I94" s="22" t="str"/>
    </x:row>
    <x:row r="95" ht="15" hidden="0" customHeight="1">
      <x:c r="A95" s="22" t="str">
        <x:v>55_IDC_Delay</x:v>
      </x:c>
      <x:c r="B95" s="22" t="str">
        <x:v>known_delay_total_s</x:v>
      </x:c>
      <x:c r="C95" s="22" t="n">
        <x:v>0</x:v>
      </x:c>
      <x:c r="D95" s="22" t="str">
        <x:v>s</x:v>
      </x:c>
      <x:c r="E95" s="22" t="str">
        <x:v>sum(known delays)</x:v>
      </x:c>
      <x:c r="F95" s="22" t="str"/>
      <x:c r="G95" s="22" t="str">
        <x:v>calculated</x:v>
      </x:c>
      <x:c r="H95" s="22" t="str">
        <x:v>PASS</x:v>
      </x:c>
      <x:c r="I95" s="22" t="str"/>
    </x:row>
    <x:row r="96" ht="26.399999618530273" hidden="0" customHeight="1">
      <x:c r="A96" s="22" t="str">
        <x:v>55_IDC_Delay</x:v>
      </x:c>
      <x:c r="B96" s="22" t="str">
        <x:v>known_delay_phase_deg</x:v>
      </x:c>
      <x:c r="C96" s="22" t="n">
        <x:v>0</x:v>
      </x:c>
      <x:c r="D96" s="22" t="str">
        <x:v>deg</x:v>
      </x:c>
      <x:c r="E96" s="22" t="str">
        <x:v>360*floop*Tdelay</x:v>
      </x:c>
      <x:c r="F96" s="22" t="str"/>
      <x:c r="G96" s="22" t="str">
        <x:v>calculated</x:v>
      </x:c>
      <x:c r="H96" s="22" t="str">
        <x:v>NOT_EVALUATED</x:v>
      </x:c>
      <x:c r="I96" s="22" t="str"/>
    </x:row>
    <x:row r="97" ht="15" hidden="0" customHeight="1">
      <x:c r="A97" s="22" t="str">
        <x:v>55_VAC_Delay</x:v>
      </x:c>
      <x:c r="B97" s="22" t="str">
        <x:v>sensor_delay_s</x:v>
      </x:c>
      <x:c r="C97" s="22" t="n">
        <x:v>0</x:v>
      </x:c>
      <x:c r="D97" s="22" t="str">
        <x:v>s</x:v>
      </x:c>
      <x:c r="E97" s="22" t="str"/>
      <x:c r="F97" s="22" t="str"/>
      <x:c r="G97" s="22" t="str">
        <x:v>calculated</x:v>
      </x:c>
      <x:c r="H97" s="22" t="str">
        <x:v>PASS</x:v>
      </x:c>
      <x:c r="I97" s="22" t="str"/>
    </x:row>
    <x:row r="98" ht="15" hidden="0" customHeight="1">
      <x:c r="A98" s="22" t="str">
        <x:v>55_VAC_Delay</x:v>
      </x:c>
      <x:c r="B98" s="22" t="str">
        <x:v>isolation_delay_s</x:v>
      </x:c>
      <x:c r="C98" s="22" t="n">
        <x:v>0.0000029</x:v>
      </x:c>
      <x:c r="D98" s="22" t="str">
        <x:v>s</x:v>
      </x:c>
      <x:c r="E98" s="22" t="str"/>
      <x:c r="F98" s="22" t="str"/>
      <x:c r="G98" s="22" t="str">
        <x:v>calculated</x:v>
      </x:c>
      <x:c r="H98" s="22" t="str">
        <x:v>PASS</x:v>
      </x:c>
      <x:c r="I98" s="22" t="str"/>
    </x:row>
    <x:row r="99" ht="26.399999618530273" hidden="0" customHeight="1">
      <x:c r="A99" s="22" t="str">
        <x:v>55_VAC_Delay</x:v>
      </x:c>
      <x:c r="B99" s="22" t="str">
        <x:v>adc_delay_s</x:v>
      </x:c>
      <x:c r="C99" s="22"/>
      <x:c r="D99" s="22" t="str">
        <x:v>s</x:v>
      </x:c>
      <x:c r="E99" s="22" t="str"/>
      <x:c r="F99" s="22" t="str"/>
      <x:c r="G99" s="22" t="str">
        <x:v>calculated</x:v>
      </x:c>
      <x:c r="H99" s="22" t="str">
        <x:v>NOT_EVALUATED</x:v>
      </x:c>
      <x:c r="I99" s="22" t="str"/>
    </x:row>
    <x:row r="100" ht="26.399999618530273" hidden="0" customHeight="1">
      <x:c r="A100" s="22" t="str">
        <x:v>55_VAC_Delay</x:v>
      </x:c>
      <x:c r="B100" s="22" t="str">
        <x:v>isr_delay_s</x:v>
      </x:c>
      <x:c r="C100" s="22"/>
      <x:c r="D100" s="22" t="str">
        <x:v>s</x:v>
      </x:c>
      <x:c r="E100" s="22" t="str"/>
      <x:c r="F100" s="22" t="str"/>
      <x:c r="G100" s="22" t="str">
        <x:v>calculated</x:v>
      </x:c>
      <x:c r="H100" s="22" t="str">
        <x:v>NOT_EVALUATED</x:v>
      </x:c>
      <x:c r="I100" s="22" t="str"/>
    </x:row>
    <x:row r="101" ht="26.399999618530273" hidden="0" customHeight="1">
      <x:c r="A101" s="22" t="str">
        <x:v>55_VAC_Delay</x:v>
      </x:c>
      <x:c r="B101" s="22" t="str">
        <x:v>pwm_delay_s</x:v>
      </x:c>
      <x:c r="C101" s="22"/>
      <x:c r="D101" s="22" t="str">
        <x:v>s</x:v>
      </x:c>
      <x:c r="E101" s="22" t="str"/>
      <x:c r="F101" s="22" t="str"/>
      <x:c r="G101" s="22" t="str">
        <x:v>calculated</x:v>
      </x:c>
      <x:c r="H101" s="22" t="str">
        <x:v>NOT_EVALUATED</x:v>
      </x:c>
      <x:c r="I101" s="22" t="str"/>
    </x:row>
    <x:row r="102" ht="15" hidden="0" customHeight="1">
      <x:c r="A102" s="22" t="str">
        <x:v>55_VAC_Delay</x:v>
      </x:c>
      <x:c r="B102" s="22" t="str">
        <x:v>known_delay_total_s</x:v>
      </x:c>
      <x:c r="C102" s="22" t="n">
        <x:v>0.0000029</x:v>
      </x:c>
      <x:c r="D102" s="22" t="str">
        <x:v>s</x:v>
      </x:c>
      <x:c r="E102" s="22" t="str">
        <x:v>sum(known delays)</x:v>
      </x:c>
      <x:c r="F102" s="22" t="str"/>
      <x:c r="G102" s="22" t="str">
        <x:v>calculated</x:v>
      </x:c>
      <x:c r="H102" s="22" t="str">
        <x:v>PASS</x:v>
      </x:c>
      <x:c r="I102" s="22" t="str"/>
    </x:row>
    <x:row r="103" ht="26.399999618530273" hidden="0" customHeight="1">
      <x:c r="A103" s="22" t="str">
        <x:v>55_VAC_Delay</x:v>
      </x:c>
      <x:c r="B103" s="22" t="str">
        <x:v>known_delay_phase_deg</x:v>
      </x:c>
      <x:c r="C103" s="22" t="n">
        <x:v>0.03132</x:v>
      </x:c>
      <x:c r="D103" s="22" t="str">
        <x:v>deg</x:v>
      </x:c>
      <x:c r="E103" s="22" t="str">
        <x:v>360*floop*Tdelay</x:v>
      </x:c>
      <x:c r="F103" s="22" t="str"/>
      <x:c r="G103" s="22" t="str">
        <x:v>calculated</x:v>
      </x:c>
      <x:c r="H103" s="22" t="str">
        <x:v>NOT_EVALUATED</x:v>
      </x:c>
      <x:c r="I103" s="22" t="str"/>
    </x:row>
    <x:row r="104" ht="26.399999618530273" hidden="0" customHeight="1">
      <x:c r="A104" s="22" t="str">
        <x:v>55_VDC_Delay</x:v>
      </x:c>
      <x:c r="B104" s="22" t="str">
        <x:v>sensor_delay_s</x:v>
      </x:c>
      <x:c r="C104" s="22"/>
      <x:c r="D104" s="22" t="str">
        <x:v>s</x:v>
      </x:c>
      <x:c r="E104" s="22" t="str"/>
      <x:c r="F104" s="22" t="str"/>
      <x:c r="G104" s="22" t="str">
        <x:v>calculated</x:v>
      </x:c>
      <x:c r="H104" s="22" t="str">
        <x:v>NOT_EVALUATED</x:v>
      </x:c>
      <x:c r="I104" s="22" t="str"/>
    </x:row>
    <x:row r="105" ht="26.399999618530273" hidden="0" customHeight="1">
      <x:c r="A105" s="22" t="str">
        <x:v>55_VDC_Delay</x:v>
      </x:c>
      <x:c r="B105" s="22" t="str">
        <x:v>isolation_delay_s</x:v>
      </x:c>
      <x:c r="C105" s="22"/>
      <x:c r="D105" s="22" t="str">
        <x:v>s</x:v>
      </x:c>
      <x:c r="E105" s="22" t="str"/>
      <x:c r="F105" s="22" t="str"/>
      <x:c r="G105" s="22" t="str">
        <x:v>calculated</x:v>
      </x:c>
      <x:c r="H105" s="22" t="str">
        <x:v>NOT_EVALUATED</x:v>
      </x:c>
      <x:c r="I105" s="22" t="str"/>
    </x:row>
    <x:row r="106" ht="26.399999618530273" hidden="0" customHeight="1">
      <x:c r="A106" s="22" t="str">
        <x:v>55_VDC_Delay</x:v>
      </x:c>
      <x:c r="B106" s="22" t="str">
        <x:v>adc_delay_s</x:v>
      </x:c>
      <x:c r="C106" s="22"/>
      <x:c r="D106" s="22" t="str">
        <x:v>s</x:v>
      </x:c>
      <x:c r="E106" s="22" t="str"/>
      <x:c r="F106" s="22" t="str"/>
      <x:c r="G106" s="22" t="str">
        <x:v>calculated</x:v>
      </x:c>
      <x:c r="H106" s="22" t="str">
        <x:v>NOT_EVALUATED</x:v>
      </x:c>
      <x:c r="I106" s="22" t="str"/>
    </x:row>
    <x:row r="107" ht="26.399999618530273" hidden="0" customHeight="1">
      <x:c r="A107" s="22" t="str">
        <x:v>55_VDC_Delay</x:v>
      </x:c>
      <x:c r="B107" s="22" t="str">
        <x:v>isr_delay_s</x:v>
      </x:c>
      <x:c r="C107" s="22"/>
      <x:c r="D107" s="22" t="str">
        <x:v>s</x:v>
      </x:c>
      <x:c r="E107" s="22" t="str"/>
      <x:c r="F107" s="22" t="str"/>
      <x:c r="G107" s="22" t="str">
        <x:v>calculated</x:v>
      </x:c>
      <x:c r="H107" s="22" t="str">
        <x:v>NOT_EVALUATED</x:v>
      </x:c>
      <x:c r="I107" s="22" t="str"/>
    </x:row>
    <x:row r="108" ht="26.399999618530273" hidden="0" customHeight="1">
      <x:c r="A108" s="22" t="str">
        <x:v>55_VDC_Delay</x:v>
      </x:c>
      <x:c r="B108" s="22" t="str">
        <x:v>pwm_delay_s</x:v>
      </x:c>
      <x:c r="C108" s="22"/>
      <x:c r="D108" s="22" t="str">
        <x:v>s</x:v>
      </x:c>
      <x:c r="E108" s="22" t="str"/>
      <x:c r="F108" s="22" t="str"/>
      <x:c r="G108" s="22" t="str">
        <x:v>calculated</x:v>
      </x:c>
      <x:c r="H108" s="22" t="str">
        <x:v>NOT_EVALUATED</x:v>
      </x:c>
      <x:c r="I108" s="22" t="str"/>
    </x:row>
    <x:row r="109" ht="15" hidden="0" customHeight="1">
      <x:c r="A109" s="22" t="str">
        <x:v>55_VDC_Delay</x:v>
      </x:c>
      <x:c r="B109" s="22" t="str">
        <x:v>known_delay_total_s</x:v>
      </x:c>
      <x:c r="C109" s="22" t="n">
        <x:v>0</x:v>
      </x:c>
      <x:c r="D109" s="22" t="str">
        <x:v>s</x:v>
      </x:c>
      <x:c r="E109" s="22" t="str">
        <x:v>sum(known delays)</x:v>
      </x:c>
      <x:c r="F109" s="22" t="str"/>
      <x:c r="G109" s="22" t="str">
        <x:v>calculated</x:v>
      </x:c>
      <x:c r="H109" s="22" t="str">
        <x:v>PASS</x:v>
      </x:c>
      <x:c r="I109" s="22" t="str"/>
    </x:row>
    <x:row r="110" ht="26.399999618530273" hidden="0" customHeight="1">
      <x:c r="A110" s="22" t="str">
        <x:v>55_VDC_Delay</x:v>
      </x:c>
      <x:c r="B110" s="22" t="str">
        <x:v>known_delay_phase_deg</x:v>
      </x:c>
      <x:c r="C110" s="22" t="n">
        <x:v>0</x:v>
      </x:c>
      <x:c r="D110" s="22" t="str">
        <x:v>deg</x:v>
      </x:c>
      <x:c r="E110" s="22" t="str">
        <x:v>360*floop*Tdelay</x:v>
      </x:c>
      <x:c r="F110" s="22" t="str"/>
      <x:c r="G110" s="22" t="str">
        <x:v>calculated</x:v>
      </x:c>
      <x:c r="H110" s="22" t="str">
        <x:v>NOT_EVALUATED</x:v>
      </x:c>
      <x:c r="I110" s="22" t="str"/>
    </x:row>
    <x:row r="111" ht="39.599998474121094" hidden="0" customHeight="1">
      <x:c r="A111" s="22" t="str">
        <x:v>60_IAC_Error</x:v>
      </x:c>
      <x:c r="B111" s="22" t="str">
        <x:v>wc_percent_fs</x:v>
      </x:c>
      <x:c r="C111" s="22"/>
      <x:c r="D111" s="22" t="str">
        <x:v>%FS</x:v>
      </x:c>
      <x:c r="E111" s="22" t="str"/>
      <x:c r="F111" s="22" t="str"/>
      <x:c r="G111" s="22" t="str">
        <x:v>missing error sources</x:v>
      </x:c>
      <x:c r="H111" s="22" t="str">
        <x:v>NOT_EVALUATED</x:v>
      </x:c>
      <x:c r="I111" s="22" t="str"/>
    </x:row>
    <x:row r="112" ht="39.599998474121094" hidden="0" customHeight="1">
      <x:c r="A112" s="22" t="str">
        <x:v>60_IAC_Error</x:v>
      </x:c>
      <x:c r="B112" s="22" t="str">
        <x:v>rss_percent_fs</x:v>
      </x:c>
      <x:c r="C112" s="22"/>
      <x:c r="D112" s="22" t="str">
        <x:v>%FS</x:v>
      </x:c>
      <x:c r="E112" s="22" t="str"/>
      <x:c r="F112" s="22" t="str"/>
      <x:c r="G112" s="22" t="str">
        <x:v>missing error sources</x:v>
      </x:c>
      <x:c r="H112" s="22" t="str">
        <x:v>NOT_EVALUATED</x:v>
      </x:c>
      <x:c r="I112" s="22" t="str"/>
    </x:row>
    <x:row r="113" ht="39.599998474121094" hidden="0" customHeight="1">
      <x:c r="A113" s="22" t="str">
        <x:v>60_IDC_Error</x:v>
      </x:c>
      <x:c r="B113" s="22" t="str">
        <x:v>wc_percent_fs</x:v>
      </x:c>
      <x:c r="C113" s="22"/>
      <x:c r="D113" s="22" t="str">
        <x:v>%FS</x:v>
      </x:c>
      <x:c r="E113" s="22" t="str"/>
      <x:c r="F113" s="22" t="str"/>
      <x:c r="G113" s="22" t="str">
        <x:v>missing error sources</x:v>
      </x:c>
      <x:c r="H113" s="22" t="str">
        <x:v>NOT_EVALUATED</x:v>
      </x:c>
      <x:c r="I113" s="22" t="str"/>
    </x:row>
    <x:row r="114" ht="39.599998474121094" hidden="0" customHeight="1">
      <x:c r="A114" s="22" t="str">
        <x:v>60_IDC_Error</x:v>
      </x:c>
      <x:c r="B114" s="22" t="str">
        <x:v>rss_percent_fs</x:v>
      </x:c>
      <x:c r="C114" s="22"/>
      <x:c r="D114" s="22" t="str">
        <x:v>%FS</x:v>
      </x:c>
      <x:c r="E114" s="22" t="str"/>
      <x:c r="F114" s="22" t="str"/>
      <x:c r="G114" s="22" t="str">
        <x:v>missing error sources</x:v>
      </x:c>
      <x:c r="H114" s="22" t="str">
        <x:v>NOT_EVALUATED</x:v>
      </x:c>
      <x:c r="I114" s="22" t="str"/>
    </x:row>
    <x:row r="115" ht="39.599998474121094" hidden="0" customHeight="1">
      <x:c r="A115" s="22" t="str">
        <x:v>60_VAC_Error</x:v>
      </x:c>
      <x:c r="B115" s="22" t="str">
        <x:v>wc_percent_fs</x:v>
      </x:c>
      <x:c r="C115" s="22"/>
      <x:c r="D115" s="22" t="str">
        <x:v>%FS</x:v>
      </x:c>
      <x:c r="E115" s="22" t="str"/>
      <x:c r="F115" s="22" t="str"/>
      <x:c r="G115" s="22" t="str">
        <x:v>missing error sources</x:v>
      </x:c>
      <x:c r="H115" s="22" t="str">
        <x:v>NOT_EVALUATED</x:v>
      </x:c>
      <x:c r="I115" s="22" t="str"/>
    </x:row>
    <x:row r="116" ht="39.599998474121094" hidden="0" customHeight="1">
      <x:c r="A116" s="22" t="str">
        <x:v>60_VAC_Error</x:v>
      </x:c>
      <x:c r="B116" s="22" t="str">
        <x:v>rss_percent_fs</x:v>
      </x:c>
      <x:c r="C116" s="22"/>
      <x:c r="D116" s="22" t="str">
        <x:v>%FS</x:v>
      </x:c>
      <x:c r="E116" s="22" t="str"/>
      <x:c r="F116" s="22" t="str"/>
      <x:c r="G116" s="22" t="str">
        <x:v>missing error sources</x:v>
      </x:c>
      <x:c r="H116" s="22" t="str">
        <x:v>NOT_EVALUATED</x:v>
      </x:c>
      <x:c r="I116" s="22" t="str"/>
    </x:row>
    <x:row r="117" ht="39.599998474121094" hidden="0" customHeight="1">
      <x:c r="A117" s="22" t="str">
        <x:v>60_VDC_Error</x:v>
      </x:c>
      <x:c r="B117" s="22" t="str">
        <x:v>wc_percent_fs</x:v>
      </x:c>
      <x:c r="C117" s="22"/>
      <x:c r="D117" s="22" t="str">
        <x:v>%FS</x:v>
      </x:c>
      <x:c r="E117" s="22" t="str"/>
      <x:c r="F117" s="22" t="str"/>
      <x:c r="G117" s="22" t="str">
        <x:v>missing error sources</x:v>
      </x:c>
      <x:c r="H117" s="22" t="str">
        <x:v>NOT_EVALUATED</x:v>
      </x:c>
      <x:c r="I117" s="22" t="str"/>
    </x:row>
    <x:row r="118" ht="39.599998474121094" hidden="0" customHeight="1">
      <x:c r="A118" s="22" t="str">
        <x:v>60_VDC_Error</x:v>
      </x:c>
      <x:c r="B118" s="22" t="str">
        <x:v>rss_percent_fs</x:v>
      </x:c>
      <x:c r="C118" s="22"/>
      <x:c r="D118" s="22" t="str">
        <x:v>%FS</x:v>
      </x:c>
      <x:c r="E118" s="22" t="str"/>
      <x:c r="F118" s="22" t="str"/>
      <x:c r="G118" s="22" t="str">
        <x:v>missing error sources</x:v>
      </x:c>
      <x:c r="H118" s="22" t="str">
        <x:v>NOT_EVALUATED</x:v>
      </x:c>
      <x:c r="I118" s="22" t="str"/>
    </x:row>
  </x:sheetData>
  <x:pageMargins left="0.7" right="0.7" top="0.75" bottom="0.75" header="0.3" footer="0.3"/>
  <x:tableParts count="1">
    <x:tablePart xmlns:r="http://schemas.openxmlformats.org/officeDocument/2006/relationships" r:id="R87bd715304a34e2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54" hidden="0" customWidth="1"/>
    <x:col min="5" max="5" width="54" hidden="0" customWidth="1"/>
  </x:cols>
  <x:sheetData>
    <x:row r="1" ht="15" hidden="0" customHeight="1">
      <x:c r="A1" s="12" t="str">
        <x:v>Scope</x:v>
      </x:c>
      <x:c r="B1" s="12" t="str">
        <x:v>Code</x:v>
      </x:c>
      <x:c r="C1" s="12" t="str">
        <x:v>Status</x:v>
      </x:c>
      <x:c r="D1" s="12" t="str">
        <x:v>Message</x:v>
      </x:c>
      <x:c r="E1" s="12" t="str">
        <x:v>Recommendation</x:v>
      </x:c>
    </x:row>
    <x:row r="2" ht="26.399999618530273" hidden="0" customHeight="1">
      <x:c r="A2" s="22" t="str">
        <x:v>20_IAC_Hall</x:v>
      </x:c>
      <x:c r="B2" s="22" t="str">
        <x:v>IAC_UTIL</x:v>
      </x:c>
      <x:c r="C2" s="22" t="str">
        <x:v>WARNING</x:v>
      </x:c>
      <x:c r="D2" s="22" t="str">
        <x:v>Only 26.8% of ADC full scale is used at the PMP23607 design current.</x:v>
      </x:c>
      <x:c r="E2" s="22" t="str">
        <x:v>This is acceptable for overload headroom but degrades light-load effective resolution; verify zero-offset and noise performance.</x:v>
      </x:c>
    </x:row>
    <x:row r="3" ht="26.399999618530273" hidden="0" customHeight="1">
      <x:c r="A3" s="22" t="str">
        <x:v>40_VAC</x:v>
      </x:c>
      <x:c r="B3" s="22" t="str">
        <x:v>VAC_LINEAR_RANGE</x:v>
      </x:c>
      <x:c r="C3" s="22" t="str">
        <x:v>FAIL</x:v>
      </x:c>
      <x:c r="D3" s="22" t="str">
        <x:v>VAC divider drives the isolation input to 1.432 V, beyond the ±1.000 V linear range.</x:v>
      </x:c>
      <x:c r="E3" s="22" t="str">
        <x:v>Increase high-side resistance/reduce divider ratio. Hardware redesign is required; software calibration cannot restore clipped data.</x:v>
      </x:c>
    </x:row>
    <x:row r="4" ht="15" hidden="0" customHeight="1">
      <x:c r="A4" s="22" t="str">
        <x:v>40_VAC</x:v>
      </x:c>
      <x:c r="B4" s="22" t="str">
        <x:v>VAC_ADC_RANGE</x:v>
      </x:c>
      <x:c r="C4" s="22" t="str">
        <x:v>FAIL</x:v>
      </x:c>
      <x:c r="D4" s="22" t="str">
        <x:v>VAC isolation output exceeds ADC range.</x:v>
      </x:c>
      <x:c r="E4" s="22" t="str">
        <x:v>Adjust divider ratio, reference voltage or output gain.</x:v>
      </x:c>
    </x:row>
    <x:row r="5" ht="26.399999618530273" hidden="0" customHeight="1">
      <x:c r="A5" s="22" t="str">
        <x:v>21_IAC_Filter</x:v>
      </x:c>
      <x:c r="B5" s="22" t="str">
        <x:v>AFE_SWITCH_RIPPLE</x:v>
      </x:c>
      <x:c r="C5" s="22" t="str">
        <x:v>WARNING</x:v>
      </x:c>
      <x:c r="D5" s="22" t="str">
        <x:v>Single-pole attenuation at switching frequency is only -2.8 dB.</x:v>
      </x:c>
      <x:c r="E5" s="22" t="str">
        <x:v>Use PWM-synchronous sampling and/or a higher-order/digital filter; do not reduce bandwidth blindly.</x:v>
      </x:c>
    </x:row>
    <x:row r="6" ht="26.399999618530273" hidden="0" customHeight="1">
      <x:c r="A6" s="22" t="str">
        <x:v>42_VAC_Filter</x:v>
      </x:c>
      <x:c r="B6" s="22" t="str">
        <x:v>AFE_SWITCH_RIPPLE</x:v>
      </x:c>
      <x:c r="C6" s="22" t="str">
        <x:v>WARNING</x:v>
      </x:c>
      <x:c r="D6" s="22" t="str">
        <x:v>Single-pole attenuation at switching frequency is only -3.2 dB.</x:v>
      </x:c>
      <x:c r="E6" s="22" t="str">
        <x:v>Use PWM-synchronous sampling and/or a higher-order/digital filter; do not reduce bandwidth blindly.</x:v>
      </x:c>
    </x:row>
    <x:row r="7" ht="26.399999618530273" hidden="0" customHeight="1">
      <x:c r="A7" s="22" t="str">
        <x:v>30_IDC_Shunt</x:v>
      </x:c>
      <x:c r="B7" s="22" t="str">
        <x:v>IDC_OFFSET_UNKNOWN</x:v>
      </x:c>
      <x:c r="C7" s="22" t="str">
        <x:v>NOT_EVALUATED</x:v>
      </x:c>
      <x:c r="D7" s="22" t="str">
        <x:v>IDC amplifier input offset is not configured.</x:v>
      </x:c>
      <x:c r="E7" s="22" t="str">
        <x:v>Enter the exact device maximum offset before design release.</x:v>
      </x:c>
    </x:row>
    <x:row r="8" ht="26.399999618530273" hidden="0" customHeight="1">
      <x:c r="A8" s="22" t="str">
        <x:v>30_IDC_Shunt</x:v>
      </x:c>
      <x:c r="B8" s="22" t="str">
        <x:v>IDC_UTIL</x:v>
      </x:c>
      <x:c r="C8" s="22" t="str">
        <x:v>WARNING</x:v>
      </x:c>
      <x:c r="D8" s="22" t="str">
        <x:v>IDC uses only 16.1% of ADC full scale at calculated rated power.</x:v>
      </x:c>
      <x:c r="E8" s="22" t="str">
        <x:v>Confirm whether the channel is intentionally sized for a higher DCDC current or fault range.</x:v>
      </x:c>
    </x:row>
    <x:row r="9" ht="15" hidden="0" customHeight="1">
      <x:c r="A9" s="22" t="str">
        <x:v>31_IDC_Filter</x:v>
      </x:c>
      <x:c r="B9" s="22" t="str">
        <x:v>AFE_PHASE</x:v>
      </x:c>
      <x:c r="C9" s="22" t="str">
        <x:v>FAIL</x:v>
      </x:c>
      <x:c r="D9" s="22" t="str">
        <x:v>Analog phase loss 16.42° exceeds 15.00°.</x:v>
      </x:c>
      <x:c r="E9" s="22" t="str">
        <x:v>Increase analog bandwidth or lower loop crossover frequency.</x:v>
      </x:c>
    </x:row>
    <x:row r="10" ht="26.399999618530273" hidden="0" customHeight="1">
      <x:c r="A10" s="22" t="str">
        <x:v>50_ADC_Timing</x:v>
      </x:c>
      <x:c r="B10" s="22" t="str">
        <x:v>ADC_EXACT_MISSING</x:v>
      </x:c>
      <x:c r="C10" s="22" t="str">
        <x:v>NOT_EVALUATED</x:v>
      </x:c>
      <x:c r="D10" s="22" t="str">
        <x:v>Exact ADC acquisition model is not evaluated because MCU internal parameters are not provided.</x:v>
      </x:c>
      <x:c r="E10" s="22" t="str">
        <x:v>Populate exact_sample_capacitance_f, exact_switch_resistance_ohm and exact_source_resistance_ohm.</x:v>
      </x:c>
    </x:row>
    <x:row r="11" ht="26.399999618530273" hidden="0" customHeight="1">
      <x:c r="A11" s="22" t="str">
        <x:v>55_IAC_Delay</x:v>
      </x:c>
      <x:c r="B11" s="22" t="str">
        <x:v>IAC_DELAY_MISSING</x:v>
      </x:c>
      <x:c r="C11" s="22" t="str">
        <x:v>NOT_EVALUATED</x:v>
      </x:c>
      <x:c r="D11" s="22" t="str">
        <x:v>Delay budget is incomplete; missing: adc, isr, pwm.</x:v>
      </x:c>
      <x:c r="E11" s="22" t="str">
        <x:v>Enter worst-case propagation/compute/PWM update delays before closing loop stability analysis.</x:v>
      </x:c>
    </x:row>
    <x:row r="12" ht="26.399999618530273" hidden="0" customHeight="1">
      <x:c r="A12" s="22" t="str">
        <x:v>55_IDC_Delay</x:v>
      </x:c>
      <x:c r="B12" s="22" t="str">
        <x:v>IDC_DELAY_MISSING</x:v>
      </x:c>
      <x:c r="C12" s="22" t="str">
        <x:v>NOT_EVALUATED</x:v>
      </x:c>
      <x:c r="D12" s="22" t="str">
        <x:v>Delay budget is incomplete; missing: isolation, adc, isr, pwm.</x:v>
      </x:c>
      <x:c r="E12" s="22" t="str">
        <x:v>Enter worst-case propagation/compute/PWM update delays before closing loop stability analysis.</x:v>
      </x:c>
    </x:row>
    <x:row r="13" ht="26.399999618530273" hidden="0" customHeight="1">
      <x:c r="A13" s="22" t="str">
        <x:v>55_VAC_Delay</x:v>
      </x:c>
      <x:c r="B13" s="22" t="str">
        <x:v>VAC_DELAY_MISSING</x:v>
      </x:c>
      <x:c r="C13" s="22" t="str">
        <x:v>NOT_EVALUATED</x:v>
      </x:c>
      <x:c r="D13" s="22" t="str">
        <x:v>Delay budget is incomplete; missing: adc, isr, pwm.</x:v>
      </x:c>
      <x:c r="E13" s="22" t="str">
        <x:v>Enter worst-case propagation/compute/PWM update delays before closing loop stability analysis.</x:v>
      </x:c>
    </x:row>
    <x:row r="14" ht="26.399999618530273" hidden="0" customHeight="1">
      <x:c r="A14" s="22" t="str">
        <x:v>55_VDC_Delay</x:v>
      </x:c>
      <x:c r="B14" s="22" t="str">
        <x:v>VDC_DELAY_MISSING</x:v>
      </x:c>
      <x:c r="C14" s="22" t="str">
        <x:v>NOT_EVALUATED</x:v>
      </x:c>
      <x:c r="D14" s="22" t="str">
        <x:v>Delay budget is incomplete; missing: sensor, isolation, adc, isr, pwm.</x:v>
      </x:c>
      <x:c r="E14" s="22" t="str">
        <x:v>Enter worst-case propagation/compute/PWM update delays before closing loop stability analysis.</x:v>
      </x:c>
    </x:row>
    <x:row r="15" ht="26.399999618530273" hidden="0" customHeight="1">
      <x:c r="A15" s="22" t="str">
        <x:v>60_IAC_Error</x:v>
      </x:c>
      <x:c r="B15" s="22" t="str">
        <x:v>IAC_ERROR_MISSING</x:v>
      </x:c>
      <x:c r="C15" s="22" t="str">
        <x:v>NOT_EVALUATED</x:v>
      </x:c>
      <x:c r="D15" s="22" t="str">
        <x:v>No channel error-source data are configured.</x:v>
      </x:c>
      <x:c r="E15" s="22" t="str">
        <x:v>Enter exact device maximum gain/offset/drift/ADC/VREF errors before design release.</x:v>
      </x:c>
    </x:row>
    <x:row r="16" ht="26.399999618530273" hidden="0" customHeight="1">
      <x:c r="A16" s="22" t="str">
        <x:v>60_IDC_Error</x:v>
      </x:c>
      <x:c r="B16" s="22" t="str">
        <x:v>IDC_ERROR_MISSING</x:v>
      </x:c>
      <x:c r="C16" s="22" t="str">
        <x:v>NOT_EVALUATED</x:v>
      </x:c>
      <x:c r="D16" s="22" t="str">
        <x:v>No channel error-source data are configured.</x:v>
      </x:c>
      <x:c r="E16" s="22" t="str">
        <x:v>Enter exact device maximum gain/offset/drift/ADC/VREF errors before design release.</x:v>
      </x:c>
    </x:row>
    <x:row r="17" ht="26.399999618530273" hidden="0" customHeight="1">
      <x:c r="A17" s="22" t="str">
        <x:v>60_VAC_Error</x:v>
      </x:c>
      <x:c r="B17" s="22" t="str">
        <x:v>VAC_ERROR_MISSING</x:v>
      </x:c>
      <x:c r="C17" s="22" t="str">
        <x:v>NOT_EVALUATED</x:v>
      </x:c>
      <x:c r="D17" s="22" t="str">
        <x:v>No channel error-source data are configured.</x:v>
      </x:c>
      <x:c r="E17" s="22" t="str">
        <x:v>Enter exact device maximum gain/offset/drift/ADC/VREF errors before design release.</x:v>
      </x:c>
    </x:row>
    <x:row r="18" ht="26.399999618530273" hidden="0" customHeight="1">
      <x:c r="A18" s="22" t="str">
        <x:v>60_VDC_Error</x:v>
      </x:c>
      <x:c r="B18" s="22" t="str">
        <x:v>VDC_ERROR_MISSING</x:v>
      </x:c>
      <x:c r="C18" s="22" t="str">
        <x:v>NOT_EVALUATED</x:v>
      </x:c>
      <x:c r="D18" s="22" t="str">
        <x:v>No channel error-source data are configured.</x:v>
      </x:c>
      <x:c r="E18" s="22" t="str">
        <x:v>Enter exact device maximum gain/offset/drift/ADC/VREF errors before design release.</x:v>
      </x:c>
    </x:row>
  </x:sheetData>
  <x:conditionalFormatting sqref="C2:C18">
    <x:cfRule type="expression" dxfId="80" priority="1">
      <x:formula>C2="PASS"</x:formula>
    </x:cfRule>
    <x:cfRule type="expression" dxfId="81" priority="2">
      <x:formula>C2="WARNING"</x:formula>
    </x:cfRule>
    <x:cfRule type="expression" dxfId="82" priority="3">
      <x:formula>C2="FAIL"</x:formula>
    </x:cfRule>
    <x:cfRule type="expression" dxfId="83" priority="4">
      <x:formula>C2="NOT_EVALUATED"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ce9694c0ea45cc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12" t="str">
        <x:v>Parameter/Topic</x:v>
      </x:c>
      <x:c r="B1" s="12" t="str">
        <x:v>Value/Assumption</x:v>
      </x:c>
      <x:c r="C1" s="12" t="str">
        <x:v>Source Type</x:v>
      </x:c>
      <x:c r="D1" s="12" t="str">
        <x:v>Qualification/Action</x:v>
      </x:c>
    </x:row>
    <x:row r="2" ht="26.399999618530273" hidden="0" customHeight="1">
      <x:c r="A2" s="22" t="str">
        <x:v>System power</x:v>
      </x:c>
      <x:c r="B2" s="22" t="str">
        <x:v>2.5 kW</x:v>
      </x:c>
      <x:c r="C2" s="22" t="str">
        <x:v>project context</x:v>
      </x:c>
      <x:c r="D2" s="22" t="str">
        <x:v>Confirm continuous and overload power for the actual test article.</x:v>
      </x:c>
    </x:row>
    <x:row r="3" ht="15" hidden="0" customHeight="1">
      <x:c r="A3" s="22" t="str">
        <x:v>AC input range</x:v>
      </x:c>
      <x:c r="B3" s="22" t="str">
        <x:v>180–265 Vrms</x:v>
      </x:c>
      <x:c r="C3" s="22" t="str">
        <x:v>PMP23607 Rev. E2 schematic</x:v>
      </x:c>
      <x:c r="D3" s="22" t="str">
        <x:v>Observed hardware range.</x:v>
      </x:c>
    </x:row>
    <x:row r="4" ht="26.399999618530273" hidden="0" customHeight="1">
      <x:c r="A4" s="22" t="str">
        <x:v>DC operating range</x:v>
      </x:c>
      <x:c r="B4" s="22" t="str">
        <x:v>370–420 V</x:v>
      </x:c>
      <x:c r="C4" s="22" t="str">
        <x:v>legacy software macros</x:v>
      </x:c>
      <x:c r="D4" s="22" t="str">
        <x:v>Provisional; confirm PMP23607 battery/output specification.</x:v>
      </x:c>
    </x:row>
    <x:row r="5" ht="26.399999618530273" hidden="0" customHeight="1">
      <x:c r="A5" s="22" t="str">
        <x:v>Control bandwidths</x:v>
      </x:c>
      <x:c r="B5" s="22" t="str">
        <x:v>IAC 3 kHz; IDC 2 kHz; VDC 20 Hz; PLL 30 Hz</x:v>
      </x:c>
      <x:c r="C5" s="22" t="str">
        <x:v>engineering default</x:v>
      </x:c>
      <x:c r="D5" s="22" t="str">
        <x:v>Provisional; replace with measured plant/controller targets.</x:v>
      </x:c>
    </x:row>
    <x:row r="6" ht="26.399999618530273" hidden="0" customHeight="1">
      <x:c r="A6" s="22" t="str">
        <x:v>Phase budgets</x:v>
      </x:c>
      <x:c r="B6" s="22" t="str">
        <x:v>IAC/IDC 15 deg; VDC/VAC PLL 5 deg; line VAC 0.5 deg</x:v>
      </x:c>
      <x:c r="C6" s="22" t="str">
        <x:v>engineering default</x:v>
      </x:c>
      <x:c r="D6" s="22" t="str">
        <x:v>User-confirmed MVP defaults.</x:v>
      </x:c>
    </x:row>
    <x:row r="7" ht="39.599998474121094" hidden="0" customHeight="1">
      <x:c r="A7" s="22" t="str">
        <x:v>F29H85x internal ADC model</x:v>
      </x:c>
      <x:c r="B7" s="22" t="str">
        <x:v>Not populated</x:v>
      </x:c>
      <x:c r="C7" s="22" t="str">
        <x:v>missing authoritative parameter</x:v>
      </x:c>
      <x:c r="D7" s="22" t="str">
        <x:v>Exact acquisition model remains NOT_EVALUATED until data-sheet/model values are entered.</x:v>
      </x:c>
    </x:row>
    <x:row r="8" ht="26.399999618530273" hidden="0" customHeight="1">
      <x:c r="A8" s="22" t="str">
        <x:v>Component error budgets</x:v>
      </x:c>
      <x:c r="B8" s="22" t="str">
        <x:v>Empty by default</x:v>
      </x:c>
      <x:c r="C8" s="22" t="str">
        <x:v>fail-closed design rule</x:v>
      </x:c>
      <x:c r="D8" s="22" t="str">
        <x:v>Enter exact maximum errors and drift before design release.</x:v>
      </x:c>
    </x:row>
  </x:sheetData>
  <x:pageMargins left="0.7" right="0.7" top="0.75" bottom="0.75" header="0.3" footer="0.3"/>
  <x:tableParts count="1">
    <x:tablePart xmlns:r="http://schemas.openxmlformats.org/officeDocument/2006/relationships" r:id="R427d350b1679443e"/>
  </x:tableParts>
</x:worksheet>
</file>