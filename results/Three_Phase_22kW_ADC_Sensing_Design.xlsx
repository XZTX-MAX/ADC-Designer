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  <Override PartName="/xl/worksheets/sheet26.xml" ContentType="application/vnd.openxmlformats-officedocument.spreadsheetml.worksheet+xml"/>
  <Override PartName="/xl/tables/table26.xml" ContentType="application/vnd.openxmlformats-officedocument.spreadsheetml.table+xml"/>
  <Override PartName="/xl/worksheets/sheet27.xml" ContentType="application/vnd.openxmlformats-officedocument.spreadsheetml.worksheet+xml"/>
  <Override PartName="/xl/tables/table27.xml" ContentType="application/vnd.openxmlformats-officedocument.spreadsheetml.table+xml"/>
  <Override PartName="/xl/worksheets/sheet28.xml" ContentType="application/vnd.openxmlformats-officedocument.spreadsheetml.worksheet+xml"/>
  <Override PartName="/xl/tables/table28.xml" ContentType="application/vnd.openxmlformats-officedocument.spreadsheetml.table+xml"/>
  <Override PartName="/xl/worksheets/sheet29.xml" ContentType="application/vnd.openxmlformats-officedocument.spreadsheetml.worksheet+xml"/>
  <Override PartName="/xl/tables/table29.xml" ContentType="application/vnd.openxmlformats-officedocument.spreadsheetml.table+xml"/>
  <Override PartName="/xl/worksheets/sheet30.xml" ContentType="application/vnd.openxmlformats-officedocument.spreadsheetml.worksheet+xml"/>
  <Override PartName="/xl/tables/table30.xml" ContentType="application/vnd.openxmlformats-officedocument.spreadsheetml.table+xml"/>
  <Override PartName="/xl/worksheets/sheet31.xml" ContentType="application/vnd.openxmlformats-officedocument.spreadsheetml.worksheet+xml"/>
  <Override PartName="/xl/tables/table31.xml" ContentType="application/vnd.openxmlformats-officedocument.spreadsheetml.table+xml"/>
  <Override PartName="/xl/worksheets/sheet32.xml" ContentType="application/vnd.openxmlformats-officedocument.spreadsheetml.worksheet+xml"/>
  <Override PartName="/xl/tables/table32.xml" ContentType="application/vnd.openxmlformats-officedocument.spreadsheetml.table+xml"/>
  <Override PartName="/xl/worksheets/sheet33.xml" ContentType="application/vnd.openxmlformats-officedocument.spreadsheetml.worksheet+xml"/>
  <Override PartName="/xl/tables/table33.xml" ContentType="application/vnd.openxmlformats-officedocument.spreadsheetml.table+xml"/>
  <Override PartName="/xl/worksheets/sheet34.xml" ContentType="application/vnd.openxmlformats-officedocument.spreadsheetml.worksheet+xml"/>
  <Override PartName="/xl/tables/table3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a699d1a4ea4b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Summary" sheetId="1" r:id="R831aca8b06934698"/>
    <x:sheet xmlns:r="http://schemas.openxmlformats.org/officeDocument/2006/relationships" name="01_Input_Config" sheetId="2" r:id="Rb086d62edc1a4dff"/>
    <x:sheet xmlns:r="http://schemas.openxmlformats.org/officeDocument/2006/relationships" name="10_System_Rating" sheetId="3" r:id="R62a3d96528af4e54"/>
    <x:sheet xmlns:r="http://schemas.openxmlformats.org/officeDocument/2006/relationships" name="15_Phase_Channels" sheetId="4" r:id="R0019f3421d18449a"/>
    <x:sheet xmlns:r="http://schemas.openxmlformats.org/officeDocument/2006/relationships" name="20_IAC_A" sheetId="5" r:id="R9e8aeeb6dd7c4d99"/>
    <x:sheet xmlns:r="http://schemas.openxmlformats.org/officeDocument/2006/relationships" name="20_IAC_B" sheetId="6" r:id="R649ab739e5ea4077"/>
    <x:sheet xmlns:r="http://schemas.openxmlformats.org/officeDocument/2006/relationships" name="20_IAC_C" sheetId="7" r:id="R676307a52fca49a9"/>
    <x:sheet xmlns:r="http://schemas.openxmlformats.org/officeDocument/2006/relationships" name="21_IAC_A_Filter" sheetId="8" r:id="R2093908755cb4d85"/>
    <x:sheet xmlns:r="http://schemas.openxmlformats.org/officeDocument/2006/relationships" name="21_IAC_B_Filter" sheetId="9" r:id="Reaeb5b401ac542e2"/>
    <x:sheet xmlns:r="http://schemas.openxmlformats.org/officeDocument/2006/relationships" name="21_IAC_C_Filter" sheetId="10" r:id="R9416bbfef13b48eb"/>
    <x:sheet xmlns:r="http://schemas.openxmlformats.org/officeDocument/2006/relationships" name="40_VAC_A" sheetId="11" r:id="R37263f87bc644b3f"/>
    <x:sheet xmlns:r="http://schemas.openxmlformats.org/officeDocument/2006/relationships" name="40_VAC_B" sheetId="12" r:id="R9ffa0a1889384e05"/>
    <x:sheet xmlns:r="http://schemas.openxmlformats.org/officeDocument/2006/relationships" name="40_VAC_C" sheetId="13" r:id="R89cdc8a8f5254423"/>
    <x:sheet xmlns:r="http://schemas.openxmlformats.org/officeDocument/2006/relationships" name="42_VAC_A_Filter" sheetId="14" r:id="R0c5270a0e1ad4d77"/>
    <x:sheet xmlns:r="http://schemas.openxmlformats.org/officeDocument/2006/relationships" name="42_VAC_B_Filter" sheetId="15" r:id="R582669288989445e"/>
    <x:sheet xmlns:r="http://schemas.openxmlformats.org/officeDocument/2006/relationships" name="42_VAC_C_Filter" sheetId="16" r:id="R5da4cc07f0ee458e"/>
    <x:sheet xmlns:r="http://schemas.openxmlformats.org/officeDocument/2006/relationships" name="16_Phase_Matching" sheetId="17" r:id="R485a9dbedcbf4618"/>
    <x:sheet xmlns:r="http://schemas.openxmlformats.org/officeDocument/2006/relationships" name="52_Sampling_Sync" sheetId="18" r:id="R7e86ffe806df4fed"/>
    <x:sheet xmlns:r="http://schemas.openxmlformats.org/officeDocument/2006/relationships" name="30_IDC_Shunt" sheetId="19" r:id="Rad2720549ed1466b"/>
    <x:sheet xmlns:r="http://schemas.openxmlformats.org/officeDocument/2006/relationships" name="41_VDC" sheetId="20" r:id="Rc2b2854cc72843e5"/>
    <x:sheet xmlns:r="http://schemas.openxmlformats.org/officeDocument/2006/relationships" name="31_IDC_Filter" sheetId="21" r:id="R484fa0298d3241f0"/>
    <x:sheet xmlns:r="http://schemas.openxmlformats.org/officeDocument/2006/relationships" name="43_VDC_Filter" sheetId="22" r:id="R3b1d04d4eda2401c"/>
    <x:sheet xmlns:r="http://schemas.openxmlformats.org/officeDocument/2006/relationships" name="50_ADC_Timing" sheetId="23" r:id="R62ec8e6e7c4346fe"/>
    <x:sheet xmlns:r="http://schemas.openxmlformats.org/officeDocument/2006/relationships" name="55_IAC_Delay" sheetId="24" r:id="Rc637e796150a434a"/>
    <x:sheet xmlns:r="http://schemas.openxmlformats.org/officeDocument/2006/relationships" name="55_IDC_Delay" sheetId="25" r:id="Rbce6c3ac6feb453a"/>
    <x:sheet xmlns:r="http://schemas.openxmlformats.org/officeDocument/2006/relationships" name="55_VAC_Delay" sheetId="26" r:id="R974736d4ee784e4a"/>
    <x:sheet xmlns:r="http://schemas.openxmlformats.org/officeDocument/2006/relationships" name="55_VDC_Delay" sheetId="27" r:id="Rb03241af2c31442f"/>
    <x:sheet xmlns:r="http://schemas.openxmlformats.org/officeDocument/2006/relationships" name="60_IAC_Error" sheetId="28" r:id="R0cbb8e9865eb4c6f"/>
    <x:sheet xmlns:r="http://schemas.openxmlformats.org/officeDocument/2006/relationships" name="60_IDC_Error" sheetId="29" r:id="Rdaf8eb663e3a4b7b"/>
    <x:sheet xmlns:r="http://schemas.openxmlformats.org/officeDocument/2006/relationships" name="60_VAC_Error" sheetId="30" r:id="R06a2ce067a614d0b"/>
    <x:sheet xmlns:r="http://schemas.openxmlformats.org/officeDocument/2006/relationships" name="60_VDC_Error" sheetId="31" r:id="Rf57fee833f3046b8"/>
    <x:sheet xmlns:r="http://schemas.openxmlformats.org/officeDocument/2006/relationships" name="90_Formula_Trace" sheetId="32" r:id="R8ea0db031fc8457a"/>
    <x:sheet xmlns:r="http://schemas.openxmlformats.org/officeDocument/2006/relationships" name="80_Warnings" sheetId="33" r:id="Rc3f312e361c14b73"/>
    <x:sheet xmlns:r="http://schemas.openxmlformats.org/officeDocument/2006/relationships" name="70_Assumptions" sheetId="34" r:id="R77b968799d1743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7F1D1D"/>
      </x:patternFill>
    </x:fill>
    <x:fill>
      <x:patternFill patternType="solid">
        <x:fgColor rgb="FFB91C1C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124"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06bfb86b134d26" /><Relationship Type="http://schemas.openxmlformats.org/officeDocument/2006/relationships/theme" Target="/xl/theme/theme1.xml" Id="R853902e4a1264213" /><Relationship Type="http://schemas.microsoft.com/office/2022/11/relationships/FeaturePropertyBag" Target="/xl/featurePropertyBag/featurePropertyBag.xml" Id="Re3f3cb987ad94767" /><Relationship Type="http://schemas.openxmlformats.org/officeDocument/2006/relationships/sharedStrings" Target="/xl/sharedStrings.xml" Id="R383f4f6ae9f74c37" /><Relationship Type="http://schemas.openxmlformats.org/officeDocument/2006/relationships/worksheet" Target="/xl/worksheets/sheet1.xml" Id="R831aca8b06934698" /><Relationship Type="http://schemas.openxmlformats.org/officeDocument/2006/relationships/worksheet" Target="/xl/worksheets/sheet2.xml" Id="Rb086d62edc1a4dff" /><Relationship Type="http://schemas.openxmlformats.org/officeDocument/2006/relationships/worksheet" Target="/xl/worksheets/sheet3.xml" Id="R62a3d96528af4e54" /><Relationship Type="http://schemas.openxmlformats.org/officeDocument/2006/relationships/worksheet" Target="/xl/worksheets/sheet4.xml" Id="R0019f3421d18449a" /><Relationship Type="http://schemas.openxmlformats.org/officeDocument/2006/relationships/worksheet" Target="/xl/worksheets/sheet5.xml" Id="R9e8aeeb6dd7c4d99" /><Relationship Type="http://schemas.openxmlformats.org/officeDocument/2006/relationships/worksheet" Target="/xl/worksheets/sheet6.xml" Id="R649ab739e5ea4077" /><Relationship Type="http://schemas.openxmlformats.org/officeDocument/2006/relationships/worksheet" Target="/xl/worksheets/sheet7.xml" Id="R676307a52fca49a9" /><Relationship Type="http://schemas.openxmlformats.org/officeDocument/2006/relationships/worksheet" Target="/xl/worksheets/sheet8.xml" Id="R2093908755cb4d85" /><Relationship Type="http://schemas.openxmlformats.org/officeDocument/2006/relationships/worksheet" Target="/xl/worksheets/sheet9.xml" Id="Reaeb5b401ac542e2" /><Relationship Type="http://schemas.openxmlformats.org/officeDocument/2006/relationships/worksheet" Target="/xl/worksheets/sheet10.xml" Id="R9416bbfef13b48eb" /><Relationship Type="http://schemas.openxmlformats.org/officeDocument/2006/relationships/worksheet" Target="/xl/worksheets/sheet11.xml" Id="R37263f87bc644b3f" /><Relationship Type="http://schemas.openxmlformats.org/officeDocument/2006/relationships/worksheet" Target="/xl/worksheets/sheet12.xml" Id="R9ffa0a1889384e05" /><Relationship Type="http://schemas.openxmlformats.org/officeDocument/2006/relationships/worksheet" Target="/xl/worksheets/sheet13.xml" Id="R89cdc8a8f5254423" /><Relationship Type="http://schemas.openxmlformats.org/officeDocument/2006/relationships/worksheet" Target="/xl/worksheets/sheet14.xml" Id="R0c5270a0e1ad4d77" /><Relationship Type="http://schemas.openxmlformats.org/officeDocument/2006/relationships/worksheet" Target="/xl/worksheets/sheet15.xml" Id="R582669288989445e" /><Relationship Type="http://schemas.openxmlformats.org/officeDocument/2006/relationships/worksheet" Target="/xl/worksheets/sheet16.xml" Id="R5da4cc07f0ee458e" /><Relationship Type="http://schemas.openxmlformats.org/officeDocument/2006/relationships/worksheet" Target="/xl/worksheets/sheet17.xml" Id="R485a9dbedcbf4618" /><Relationship Type="http://schemas.openxmlformats.org/officeDocument/2006/relationships/worksheet" Target="/xl/worksheets/sheet18.xml" Id="R7e86ffe806df4fed" /><Relationship Type="http://schemas.openxmlformats.org/officeDocument/2006/relationships/worksheet" Target="/xl/worksheets/sheet19.xml" Id="Rad2720549ed1466b" /><Relationship Type="http://schemas.openxmlformats.org/officeDocument/2006/relationships/worksheet" Target="/xl/worksheets/sheet20.xml" Id="Rc2b2854cc72843e5" /><Relationship Type="http://schemas.openxmlformats.org/officeDocument/2006/relationships/worksheet" Target="/xl/worksheets/sheet21.xml" Id="R484fa0298d3241f0" /><Relationship Type="http://schemas.openxmlformats.org/officeDocument/2006/relationships/worksheet" Target="/xl/worksheets/sheet22.xml" Id="R3b1d04d4eda2401c" /><Relationship Type="http://schemas.openxmlformats.org/officeDocument/2006/relationships/worksheet" Target="/xl/worksheets/sheet23.xml" Id="R62ec8e6e7c4346fe" /><Relationship Type="http://schemas.openxmlformats.org/officeDocument/2006/relationships/worksheet" Target="/xl/worksheets/sheet24.xml" Id="Rc637e796150a434a" /><Relationship Type="http://schemas.openxmlformats.org/officeDocument/2006/relationships/worksheet" Target="/xl/worksheets/sheet25.xml" Id="Rbce6c3ac6feb453a" /><Relationship Type="http://schemas.openxmlformats.org/officeDocument/2006/relationships/worksheet" Target="/xl/worksheets/sheet26.xml" Id="R974736d4ee784e4a" /><Relationship Type="http://schemas.openxmlformats.org/officeDocument/2006/relationships/worksheet" Target="/xl/worksheets/sheet27.xml" Id="Rb03241af2c31442f" /><Relationship Type="http://schemas.openxmlformats.org/officeDocument/2006/relationships/worksheet" Target="/xl/worksheets/sheet28.xml" Id="R0cbb8e9865eb4c6f" /><Relationship Type="http://schemas.openxmlformats.org/officeDocument/2006/relationships/worksheet" Target="/xl/worksheets/sheet29.xml" Id="Rdaf8eb663e3a4b7b" /><Relationship Type="http://schemas.openxmlformats.org/officeDocument/2006/relationships/worksheet" Target="/xl/worksheets/sheet30.xml" Id="R06a2ce067a614d0b" /><Relationship Type="http://schemas.openxmlformats.org/officeDocument/2006/relationships/worksheet" Target="/xl/worksheets/sheet31.xml" Id="Rf57fee833f3046b8" /><Relationship Type="http://schemas.openxmlformats.org/officeDocument/2006/relationships/worksheet" Target="/xl/worksheets/sheet32.xml" Id="R8ea0db031fc8457a" /><Relationship Type="http://schemas.openxmlformats.org/officeDocument/2006/relationships/worksheet" Target="/xl/worksheets/sheet33.xml" Id="Rc3f312e361c14b73" /><Relationship Type="http://schemas.openxmlformats.org/officeDocument/2006/relationships/worksheet" Target="/xl/worksheets/sheet34.xml" Id="R77b968799d17430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ummaryTable" displayName="SummaryTable" ref="A3:H32" headerRowCount="1">
  <x:tableColumns count="8">
    <x:tableColumn id="1" name="Section"/>
    <x:tableColumn id="2" name="Status"/>
    <x:tableColumn id="3" name="Metric Count"/>
    <x:tableColumn id="4" name="FAIL"/>
    <x:tableColumn id="5" name="WARNING"/>
    <x:tableColumn id="6" name="NOT EVALUATED"/>
    <x:tableColumn id="7" name="Purpose"/>
    <x:tableColumn id="8" name="Engineering Note"/>
  </x:tableColumns>
  <x:tableStyleInfo name="TableStyleMedium2" showRowStripes="1"/>
</x:table>
</file>

<file path=xl/tables/table2.xml><?xml version="1.0" encoding="utf-8"?>
<x:table xmlns:x="http://schemas.openxmlformats.org/spreadsheetml/2006/main" id="2" name="InputConfigTable" displayName="InputConfigTable" ref="A1:D135" headerRowCount="1">
  <x:tableColumns count="4">
    <x:tableColumn id="1" name="Path"/>
    <x:tableColumn id="2" name="Value"/>
    <x:tableColumn id="3" name="Type"/>
    <x:tableColumn id="4" name="Source/Qualification"/>
  </x:tableColumns>
  <x:tableStyleInfo name="TableStyleMedium2" showRowStripes="1"/>
</x:table>
</file>

<file path=xl/tables/table3.xml><?xml version="1.0" encoding="utf-8"?>
<x:table xmlns:x="http://schemas.openxmlformats.org/spreadsheetml/2006/main" id="3" name="MetricsTable1" displayName="MetricsTable1" ref="A1:I10" headerRowCount="1">
  <x:tableColumns count="9">
    <x:tableColumn id="1" name="Key"/>
    <x:tableColumn id="2" name="Metric"/>
    <x:tableColumn id="3" name="Value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4.xml><?xml version="1.0" encoding="utf-8"?>
<x:table xmlns:x="http://schemas.openxmlformats.org/spreadsheetml/2006/main" id="4" name="MetricsTable2" displayName="MetricsTable2" ref="A1:I7" headerRowCount="1">
  <x:tableColumns count="9">
    <x:tableColumn id="1" name="Key"/>
    <x:tableColumn id="2" name="Metric"/>
    <x:tableColumn id="3" name="Value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5.xml><?xml version="1.0" encoding="utf-8"?>
<x:table xmlns:x="http://schemas.openxmlformats.org/spreadsheetml/2006/main" id="5" name="MetricsTable3" displayName="MetricsTable3" ref="A1:I13" headerRowCount="1">
  <x:tableColumns count="9">
    <x:tableColumn id="1" name="Key"/>
    <x:tableColumn id="2" name="Metric"/>
    <x:tableColumn id="3" name="Value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6.xml><?xml version="1.0" encoding="utf-8"?>
<x:table xmlns:x="http://schemas.openxmlformats.org/spreadsheetml/2006/main" id="6" name="MetricsTable4" displayName="MetricsTable4" ref="A1:I13" headerRowCount="1">
  <x:tableColumns count="9">
    <x:tableColumn id="1" name="Key"/>
    <x:tableColumn id="2" name="Metric"/>
    <x:tableColumn id="3" name="Value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7.xml><?xml version="1.0" encoding="utf-8"?>
<x:table xmlns:x="http://schemas.openxmlformats.org/spreadsheetml/2006/main" id="7" name="MetricsTable5" displayName="MetricsTable5" ref="A1:I13" headerRowCount="1">
  <x:tableColumns count="9">
    <x:tableColumn id="1" name="Key"/>
    <x:tableColumn id="2" name="Metric"/>
    <x:tableColumn id="3" name="Value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8.xml><?xml version="1.0" encoding="utf-8"?>
<x:table xmlns:x="http://schemas.openxmlformats.org/spreadsheetml/2006/main" id="8" name="MetricsTable6" displayName="MetricsTable6" ref="A1:I7" headerRowCount="1">
  <x:tableColumns count="9">
    <x:tableColumn id="1" name="Key"/>
    <x:tableColumn id="2" name="Metric"/>
    <x:tableColumn id="3" name="Value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9.xml><?xml version="1.0" encoding="utf-8"?>
<x:table xmlns:x="http://schemas.openxmlformats.org/spreadsheetml/2006/main" id="9" name="MetricsTable7" displayName="MetricsTable7" ref="A1:I7" headerRowCount="1">
  <x:tableColumns count="9">
    <x:tableColumn id="1" name="Key"/>
    <x:tableColumn id="2" name="Metric"/>
    <x:tableColumn id="3" name="Value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10.xml><?xml version="1.0" encoding="utf-8"?>
<x:table xmlns:x="http://schemas.openxmlformats.org/spreadsheetml/2006/main" id="10" name="MetricsTable8" displayName="MetricsTable8" ref="A1:I7" headerRowCount="1">
  <x:tableColumns count="9">
    <x:tableColumn id="1" name="Key"/>
    <x:tableColumn id="2" name="Metric"/>
    <x:tableColumn id="3" name="Value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11.xml><?xml version="1.0" encoding="utf-8"?>
<x:table xmlns:x="http://schemas.openxmlformats.org/spreadsheetml/2006/main" id="11" name="MetricsTable9" displayName="MetricsTable9" ref="A1:I10" headerRowCount="1">
  <x:tableColumns count="9">
    <x:tableColumn id="1" name="Key"/>
    <x:tableColumn id="2" name="Metric"/>
    <x:tableColumn id="3" name="Value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12.xml><?xml version="1.0" encoding="utf-8"?>
<x:table xmlns:x="http://schemas.openxmlformats.org/spreadsheetml/2006/main" id="12" name="MetricsTable10" displayName="MetricsTable10" ref="A1:I10" headerRowCount="1">
  <x:tableColumns count="9">
    <x:tableColumn id="1" name="Key"/>
    <x:tableColumn id="2" name="Metric"/>
    <x:tableColumn id="3" name="Value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13.xml><?xml version="1.0" encoding="utf-8"?>
<x:table xmlns:x="http://schemas.openxmlformats.org/spreadsheetml/2006/main" id="13" name="MetricsTable11" displayName="MetricsTable11" ref="A1:I10" headerRowCount="1">
  <x:tableColumns count="9">
    <x:tableColumn id="1" name="Key"/>
    <x:tableColumn id="2" name="Metric"/>
    <x:tableColumn id="3" name="Value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14.xml><?xml version="1.0" encoding="utf-8"?>
<x:table xmlns:x="http://schemas.openxmlformats.org/spreadsheetml/2006/main" id="14" name="MetricsTable12" displayName="MetricsTable12" ref="A1:I7" headerRowCount="1">
  <x:tableColumns count="9">
    <x:tableColumn id="1" name="Key"/>
    <x:tableColumn id="2" name="Metric"/>
    <x:tableColumn id="3" name="Value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15.xml><?xml version="1.0" encoding="utf-8"?>
<x:table xmlns:x="http://schemas.openxmlformats.org/spreadsheetml/2006/main" id="15" name="MetricsTable13" displayName="MetricsTable13" ref="A1:I7" headerRowCount="1">
  <x:tableColumns count="9">
    <x:tableColumn id="1" name="Key"/>
    <x:tableColumn id="2" name="Metric"/>
    <x:tableColumn id="3" name="Value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16.xml><?xml version="1.0" encoding="utf-8"?>
<x:table xmlns:x="http://schemas.openxmlformats.org/spreadsheetml/2006/main" id="16" name="MetricsTable14" displayName="MetricsTable14" ref="A1:I7" headerRowCount="1">
  <x:tableColumns count="9">
    <x:tableColumn id="1" name="Key"/>
    <x:tableColumn id="2" name="Metric"/>
    <x:tableColumn id="3" name="Value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17.xml><?xml version="1.0" encoding="utf-8"?>
<x:table xmlns:x="http://schemas.openxmlformats.org/spreadsheetml/2006/main" id="17" name="MetricsTable15" displayName="MetricsTable15" ref="A1:I6" headerRowCount="1">
  <x:tableColumns count="9">
    <x:tableColumn id="1" name="Key"/>
    <x:tableColumn id="2" name="Metric"/>
    <x:tableColumn id="3" name="Value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18.xml><?xml version="1.0" encoding="utf-8"?>
<x:table xmlns:x="http://schemas.openxmlformats.org/spreadsheetml/2006/main" id="18" name="MetricsTable16" displayName="MetricsTable16" ref="A1:I20" headerRowCount="1">
  <x:tableColumns count="9">
    <x:tableColumn id="1" name="Key"/>
    <x:tableColumn id="2" name="Metric"/>
    <x:tableColumn id="3" name="Value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19.xml><?xml version="1.0" encoding="utf-8"?>
<x:table xmlns:x="http://schemas.openxmlformats.org/spreadsheetml/2006/main" id="19" name="MetricsTable17" displayName="MetricsTable17" ref="A1:I14" headerRowCount="1">
  <x:tableColumns count="9">
    <x:tableColumn id="1" name="Key"/>
    <x:tableColumn id="2" name="Metric"/>
    <x:tableColumn id="3" name="Value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20.xml><?xml version="1.0" encoding="utf-8"?>
<x:table xmlns:x="http://schemas.openxmlformats.org/spreadsheetml/2006/main" id="20" name="MetricsTable18" displayName="MetricsTable18" ref="A1:I6" headerRowCount="1">
  <x:tableColumns count="9">
    <x:tableColumn id="1" name="Key"/>
    <x:tableColumn id="2" name="Metric"/>
    <x:tableColumn id="3" name="Value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21.xml><?xml version="1.0" encoding="utf-8"?>
<x:table xmlns:x="http://schemas.openxmlformats.org/spreadsheetml/2006/main" id="21" name="MetricsTable19" displayName="MetricsTable19" ref="A1:I7" headerRowCount="1">
  <x:tableColumns count="9">
    <x:tableColumn id="1" name="Key"/>
    <x:tableColumn id="2" name="Metric"/>
    <x:tableColumn id="3" name="Value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22.xml><?xml version="1.0" encoding="utf-8"?>
<x:table xmlns:x="http://schemas.openxmlformats.org/spreadsheetml/2006/main" id="22" name="MetricsTable20" displayName="MetricsTable20" ref="A1:I7" headerRowCount="1">
  <x:tableColumns count="9">
    <x:tableColumn id="1" name="Key"/>
    <x:tableColumn id="2" name="Metric"/>
    <x:tableColumn id="3" name="Value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23.xml><?xml version="1.0" encoding="utf-8"?>
<x:table xmlns:x="http://schemas.openxmlformats.org/spreadsheetml/2006/main" id="23" name="MetricsTable21" displayName="MetricsTable21" ref="A1:I9" headerRowCount="1">
  <x:tableColumns count="9">
    <x:tableColumn id="1" name="Key"/>
    <x:tableColumn id="2" name="Metric"/>
    <x:tableColumn id="3" name="Value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24.xml><?xml version="1.0" encoding="utf-8"?>
<x:table xmlns:x="http://schemas.openxmlformats.org/spreadsheetml/2006/main" id="24" name="MetricsTable22" displayName="MetricsTable22" ref="A1:I8" headerRowCount="1">
  <x:tableColumns count="9">
    <x:tableColumn id="1" name="Key"/>
    <x:tableColumn id="2" name="Metric"/>
    <x:tableColumn id="3" name="Value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25.xml><?xml version="1.0" encoding="utf-8"?>
<x:table xmlns:x="http://schemas.openxmlformats.org/spreadsheetml/2006/main" id="25" name="MetricsTable23" displayName="MetricsTable23" ref="A1:I8" headerRowCount="1">
  <x:tableColumns count="9">
    <x:tableColumn id="1" name="Key"/>
    <x:tableColumn id="2" name="Metric"/>
    <x:tableColumn id="3" name="Value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26.xml><?xml version="1.0" encoding="utf-8"?>
<x:table xmlns:x="http://schemas.openxmlformats.org/spreadsheetml/2006/main" id="26" name="MetricsTable24" displayName="MetricsTable24" ref="A1:I8" headerRowCount="1">
  <x:tableColumns count="9">
    <x:tableColumn id="1" name="Key"/>
    <x:tableColumn id="2" name="Metric"/>
    <x:tableColumn id="3" name="Value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27.xml><?xml version="1.0" encoding="utf-8"?>
<x:table xmlns:x="http://schemas.openxmlformats.org/spreadsheetml/2006/main" id="27" name="MetricsTable25" displayName="MetricsTable25" ref="A1:I8" headerRowCount="1">
  <x:tableColumns count="9">
    <x:tableColumn id="1" name="Key"/>
    <x:tableColumn id="2" name="Metric"/>
    <x:tableColumn id="3" name="Value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28.xml><?xml version="1.0" encoding="utf-8"?>
<x:table xmlns:x="http://schemas.openxmlformats.org/spreadsheetml/2006/main" id="28" name="MetricsTable26" displayName="MetricsTable26" ref="A1:I3" headerRowCount="1">
  <x:tableColumns count="9">
    <x:tableColumn id="1" name="Key"/>
    <x:tableColumn id="2" name="Metric"/>
    <x:tableColumn id="3" name="Value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29.xml><?xml version="1.0" encoding="utf-8"?>
<x:table xmlns:x="http://schemas.openxmlformats.org/spreadsheetml/2006/main" id="29" name="MetricsTable27" displayName="MetricsTable27" ref="A1:I3" headerRowCount="1">
  <x:tableColumns count="9">
    <x:tableColumn id="1" name="Key"/>
    <x:tableColumn id="2" name="Metric"/>
    <x:tableColumn id="3" name="Value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30.xml><?xml version="1.0" encoding="utf-8"?>
<x:table xmlns:x="http://schemas.openxmlformats.org/spreadsheetml/2006/main" id="30" name="MetricsTable28" displayName="MetricsTable28" ref="A1:I3" headerRowCount="1">
  <x:tableColumns count="9">
    <x:tableColumn id="1" name="Key"/>
    <x:tableColumn id="2" name="Metric"/>
    <x:tableColumn id="3" name="Value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31.xml><?xml version="1.0" encoding="utf-8"?>
<x:table xmlns:x="http://schemas.openxmlformats.org/spreadsheetml/2006/main" id="31" name="MetricsTable29" displayName="MetricsTable29" ref="A1:I3" headerRowCount="1">
  <x:tableColumns count="9">
    <x:tableColumn id="1" name="Key"/>
    <x:tableColumn id="2" name="Metric"/>
    <x:tableColumn id="3" name="Value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32.xml><?xml version="1.0" encoding="utf-8"?>
<x:table xmlns:x="http://schemas.openxmlformats.org/spreadsheetml/2006/main" id="32" name="FormulaTraceTable" displayName="FormulaTraceTable" ref="A1:I213" headerRowCount="1">
  <x:tableColumns count="9">
    <x:tableColumn id="1" name="Section"/>
    <x:tableColumn id="2" name="Key"/>
    <x:tableColumn id="3" name="Result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33.xml><?xml version="1.0" encoding="utf-8"?>
<x:table xmlns:x="http://schemas.openxmlformats.org/spreadsheetml/2006/main" id="33" name="WarningsTable" displayName="WarningsTable" ref="A1:E18" headerRowCount="1">
  <x:tableColumns count="5">
    <x:tableColumn id="1" name="Scope"/>
    <x:tableColumn id="2" name="Code"/>
    <x:tableColumn id="3" name="Status"/>
    <x:tableColumn id="4" name="Message"/>
    <x:tableColumn id="5" name="Recommendation"/>
  </x:tableColumns>
  <x:tableStyleInfo name="TableStyleMedium2" showRowStripes="1"/>
</x:table>
</file>

<file path=xl/tables/table34.xml><?xml version="1.0" encoding="utf-8"?>
<x:table xmlns:x="http://schemas.openxmlformats.org/spreadsheetml/2006/main" id="34" name="AssumptionsTable" displayName="AssumptionsTable" ref="A1:D9" headerRowCount="1">
  <x:tableColumns count="4">
    <x:tableColumn id="1" name="Parameter/Topic"/>
    <x:tableColumn id="2" name="Value/Assumption"/>
    <x:tableColumn id="3" name="Source Type"/>
    <x:tableColumn id="4" name="Qualification/Ac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7bbabb444054c3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06654d7144d448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d06825b25ad4af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0f353b70c0e421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00f42813d424fd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ba2969019e944b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852bcb08108241a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58dddc13061d468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bce0800985c7425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6da1feda455842a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674f61105e3d417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c269083057284f5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9469344a7c9a47c7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e46085dc156a4f7a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01267eefea00461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4554a3018f2a43a9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626d676fb0a645d5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f8a9ab6215b648f9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82e73c01e2284cf0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db9b9841f91f4466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f2f44cded42349ae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13c319e4f45348ec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ef41aeb3a1534785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b551fccb5f674160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59b1d717a2364768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6.xml" Id="Rb4db286ec5c04bd2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7.xml" Id="Rc76b784b10354c0e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8.xml" Id="Re14b88d6c9ba48c5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29.xml" Id="R8e21a8211b7d44e8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30.xml" Id="Rdf613771d4e040fc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table" Target="/xl/tables/table31.xml" Id="R47b4eebdb7174bf1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table" Target="/xl/tables/table32.xml" Id="Rfa3fa6534041445d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table" Target="/xl/tables/table33.xml" Id="Rea5b48029f8340ce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table" Target="/xl/tables/table34.xml" Id="R7610219c71a04405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32" hidden="0" customWidth="1"/>
    <x:col min="8" max="8" width="32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96" hidden="0" customHeight="1">
      <x:c r="A1" s="18" t="str">
        <x:v>OBC ADC Sensing Design — THREE_PHASE_22KW_F29H85X_TEMPLATE</x:v>
      </x:c>
      <x:c r="B1" s="18"/>
      <x:c r="C1" s="18"/>
      <x:c r="D1" s="18"/>
      <x:c r="E1" s="18"/>
      <x:c r="F1" s="18"/>
      <x:c r="G1" s="18"/>
      <x:c r="H1" s="18"/>
      <x:c r="I1" s="22"/>
      <x:c r="J1" s="22"/>
      <x:c r="K1" s="22"/>
    </x:row>
    <x:row r="2" ht="15" hidden="0" customHeight="1">
      <x:c r="A2" s="22"/>
      <x:c r="B2" s="22"/>
      <x:c r="C2" s="22"/>
      <x:c r="D2" s="22"/>
      <x:c r="E2" s="22"/>
      <x:c r="F2" s="22"/>
      <x:c r="G2" s="22"/>
      <x:c r="H2" s="22"/>
      <x:c r="I2" s="22"/>
      <x:c r="J2" s="12" t="str">
        <x:v>KPI</x:v>
      </x:c>
      <x:c r="K2" s="12" t="str">
        <x:v>Value</x:v>
      </x:c>
    </x:row>
    <x:row r="3" ht="15" hidden="0" customHeight="1">
      <x:c r="A3" s="12" t="str">
        <x:v>Section</x:v>
      </x:c>
      <x:c r="B3" s="12" t="str">
        <x:v>Status</x:v>
      </x:c>
      <x:c r="C3" s="12" t="str">
        <x:v>Metric Count</x:v>
      </x:c>
      <x:c r="D3" s="12" t="str">
        <x:v>FAIL</x:v>
      </x:c>
      <x:c r="E3" s="12" t="str">
        <x:v>WARNING</x:v>
      </x:c>
      <x:c r="F3" s="12" t="str">
        <x:v>NOT EVALUATED</x:v>
      </x:c>
      <x:c r="G3" s="12" t="str">
        <x:v>Purpose</x:v>
      </x:c>
      <x:c r="H3" s="12" t="str">
        <x:v>Engineering Note</x:v>
      </x:c>
      <x:c r="I3" s="22"/>
      <x:c r="J3" s="22" t="str">
        <x:v>FAIL diagnostics</x:v>
      </x:c>
      <x:c r="K3" s="22" t="n">
        <x:f>SUM(D4:D200)</x:f>
        <x:v>0</x:v>
      </x:c>
    </x:row>
    <x:row r="4" ht="26.399999618530273" hidden="0" customHeight="1">
      <x:c r="A4" s="22" t="str">
        <x:v>10_System_Rating</x:v>
      </x:c>
      <x:c r="B4" s="22" t="str">
        <x:v>PASS</x:v>
      </x:c>
      <x:c r="C4" s="22" t="n">
        <x:v>9</x:v>
      </x:c>
      <x:c r="D4" s="22" t="n">
        <x:v>0</x:v>
      </x:c>
      <x:c r="E4" s="22" t="n">
        <x:v>0</x:v>
      </x:c>
      <x:c r="F4" s="22" t="n">
        <x:v>0</x:v>
      </x:c>
      <x:c r="G4" s="22" t="str">
        <x:v>Calculation / validation section</x:v>
      </x:c>
      <x:c r="H4" s="22" t="str">
        <x:v>No diagnostic raised</x:v>
      </x:c>
      <x:c r="I4" s="22"/>
      <x:c r="J4" s="22" t="str">
        <x:v>WARNING diagnostics</x:v>
      </x:c>
      <x:c r="K4" s="22" t="n">
        <x:f>SUM(E4:E200)</x:f>
        <x:v>7</x:v>
      </x:c>
    </x:row>
    <x:row r="5" ht="15" hidden="0" customHeight="1">
      <x:c r="A5" s="22" t="str">
        <x:v>15_Phase_Channels</x:v>
      </x:c>
      <x:c r="B5" s="22" t="str">
        <x:v>PASS</x:v>
      </x:c>
      <x:c r="C5" s="22" t="n">
        <x:v>6</x:v>
      </x:c>
      <x:c r="D5" s="22" t="n">
        <x:v>0</x:v>
      </x:c>
      <x:c r="E5" s="22" t="n">
        <x:v>0</x:v>
      </x:c>
      <x:c r="F5" s="22" t="n">
        <x:v>0</x:v>
      </x:c>
      <x:c r="G5" s="22" t="str">
        <x:v>Calculation / validation section</x:v>
      </x:c>
      <x:c r="H5" s="22" t="str">
        <x:v>No diagnostic raised</x:v>
      </x:c>
      <x:c r="I5" s="22"/>
      <x:c r="J5" s="22" t="str">
        <x:v>Not evaluated</x:v>
      </x:c>
      <x:c r="K5" s="22" t="n">
        <x:f>SUM(F4:F200)</x:f>
        <x:v>10</x:v>
      </x:c>
    </x:row>
    <x:row r="6" ht="15" hidden="0" customHeight="1">
      <x:c r="A6" s="22" t="str">
        <x:v>20_IAC_A</x:v>
      </x:c>
      <x:c r="B6" s="22" t="str">
        <x:v>PASS</x:v>
      </x:c>
      <x:c r="C6" s="22" t="n">
        <x:v>12</x:v>
      </x:c>
      <x:c r="D6" s="22" t="n">
        <x:v>0</x:v>
      </x:c>
      <x:c r="E6" s="22" t="n">
        <x:v>0</x:v>
      </x:c>
      <x:c r="F6" s="22" t="n">
        <x:v>0</x:v>
      </x:c>
      <x:c r="G6" s="22" t="str">
        <x:v>Calculation / validation section</x:v>
      </x:c>
      <x:c r="H6" s="22" t="str">
        <x:v>No diagnostic raised</x:v>
      </x:c>
      <x:c r="I6" s="22"/>
      <x:c r="J6" s="22" t="str">
        <x:v>Sections</x:v>
      </x:c>
      <x:c r="K6" s="22" t="n">
        <x:f>COUNTA(A4:A200)</x:f>
        <x:v>29</x:v>
      </x:c>
    </x:row>
    <x:row r="7" ht="15" hidden="0" customHeight="1">
      <x:c r="A7" s="22" t="str">
        <x:v>20_IAC_B</x:v>
      </x:c>
      <x:c r="B7" s="22" t="str">
        <x:v>PASS</x:v>
      </x:c>
      <x:c r="C7" s="22" t="n">
        <x:v>12</x:v>
      </x:c>
      <x:c r="D7" s="22" t="n">
        <x:v>0</x:v>
      </x:c>
      <x:c r="E7" s="22" t="n">
        <x:v>0</x:v>
      </x:c>
      <x:c r="F7" s="22" t="n">
        <x:v>0</x:v>
      </x:c>
      <x:c r="G7" s="22" t="str">
        <x:v>Calculation / validation section</x:v>
      </x:c>
      <x:c r="H7" s="22" t="str">
        <x:v>No diagnostic raised</x:v>
      </x:c>
      <x:c r="I7" s="22"/>
      <x:c r="J7" s="22"/>
      <x:c r="K7" s="22"/>
    </x:row>
    <x:row r="8" ht="15" hidden="0" customHeight="1">
      <x:c r="A8" s="22" t="str">
        <x:v>20_IAC_C</x:v>
      </x:c>
      <x:c r="B8" s="22" t="str">
        <x:v>PASS</x:v>
      </x:c>
      <x:c r="C8" s="22" t="n">
        <x:v>12</x:v>
      </x:c>
      <x:c r="D8" s="22" t="n">
        <x:v>0</x:v>
      </x:c>
      <x:c r="E8" s="22" t="n">
        <x:v>0</x:v>
      </x:c>
      <x:c r="F8" s="22" t="n">
        <x:v>0</x:v>
      </x:c>
      <x:c r="G8" s="22" t="str">
        <x:v>Calculation / validation section</x:v>
      </x:c>
      <x:c r="H8" s="22" t="str">
        <x:v>No diagnostic raised</x:v>
      </x:c>
      <x:c r="I8" s="22"/>
      <x:c r="J8" s="22"/>
      <x:c r="K8" s="22"/>
    </x:row>
    <x:row r="9" ht="26.399999618530273" hidden="0" customHeight="1">
      <x:c r="A9" s="22" t="str">
        <x:v>21_IAC_A_Filter</x:v>
      </x:c>
      <x:c r="B9" s="22" t="str">
        <x:v>WARNING</x:v>
      </x:c>
      <x:c r="C9" s="22" t="n">
        <x:v>6</x:v>
      </x:c>
      <x:c r="D9" s="22" t="n">
        <x:v>0</x:v>
      </x:c>
      <x:c r="E9" s="22" t="n">
        <x:v>1</x:v>
      </x:c>
      <x:c r="F9" s="22" t="n">
        <x:v>0</x:v>
      </x:c>
      <x:c r="G9" s="22" t="str">
        <x:v>Calculation / validation section</x:v>
      </x:c>
      <x:c r="H9" s="22" t="str">
        <x:v>Single-pole attenuation at switching frequency is only -1.4 dB.</x:v>
      </x:c>
      <x:c r="I9" s="22"/>
      <x:c r="J9" s="22"/>
      <x:c r="K9" s="22"/>
    </x:row>
    <x:row r="10" ht="26.399999618530273" hidden="0" customHeight="1">
      <x:c r="A10" s="22" t="str">
        <x:v>21_IAC_B_Filter</x:v>
      </x:c>
      <x:c r="B10" s="22" t="str">
        <x:v>WARNING</x:v>
      </x:c>
      <x:c r="C10" s="22" t="n">
        <x:v>6</x:v>
      </x:c>
      <x:c r="D10" s="22" t="n">
        <x:v>0</x:v>
      </x:c>
      <x:c r="E10" s="22" t="n">
        <x:v>1</x:v>
      </x:c>
      <x:c r="F10" s="22" t="n">
        <x:v>0</x:v>
      </x:c>
      <x:c r="G10" s="22" t="str">
        <x:v>Calculation / validation section</x:v>
      </x:c>
      <x:c r="H10" s="22" t="str">
        <x:v>Single-pole attenuation at switching frequency is only -1.4 dB.</x:v>
      </x:c>
      <x:c r="I10" s="22"/>
      <x:c r="J10" s="22"/>
      <x:c r="K10" s="22"/>
    </x:row>
    <x:row r="11" ht="26.399999618530273" hidden="0" customHeight="1">
      <x:c r="A11" s="22" t="str">
        <x:v>21_IAC_C_Filter</x:v>
      </x:c>
      <x:c r="B11" s="22" t="str">
        <x:v>WARNING</x:v>
      </x:c>
      <x:c r="C11" s="22" t="n">
        <x:v>6</x:v>
      </x:c>
      <x:c r="D11" s="22" t="n">
        <x:v>0</x:v>
      </x:c>
      <x:c r="E11" s="22" t="n">
        <x:v>1</x:v>
      </x:c>
      <x:c r="F11" s="22" t="n">
        <x:v>0</x:v>
      </x:c>
      <x:c r="G11" s="22" t="str">
        <x:v>Calculation / validation section</x:v>
      </x:c>
      <x:c r="H11" s="22" t="str">
        <x:v>Single-pole attenuation at switching frequency is only -1.4 dB.</x:v>
      </x:c>
      <x:c r="I11" s="22"/>
      <x:c r="J11" s="22"/>
      <x:c r="K11" s="22"/>
    </x:row>
    <x:row r="12" ht="15" hidden="0" customHeight="1">
      <x:c r="A12" s="22" t="str">
        <x:v>40_VAC_A</x:v>
      </x:c>
      <x:c r="B12" s="22" t="str">
        <x:v>PASS</x:v>
      </x:c>
      <x:c r="C12" s="22" t="n">
        <x:v>9</x:v>
      </x:c>
      <x:c r="D12" s="22" t="n">
        <x:v>0</x:v>
      </x:c>
      <x:c r="E12" s="22" t="n">
        <x:v>0</x:v>
      </x:c>
      <x:c r="F12" s="22" t="n">
        <x:v>0</x:v>
      </x:c>
      <x:c r="G12" s="22" t="str">
        <x:v>Calculation / validation section</x:v>
      </x:c>
      <x:c r="H12" s="22" t="str">
        <x:v>No diagnostic raised</x:v>
      </x:c>
      <x:c r="I12" s="22"/>
      <x:c r="J12" s="22"/>
      <x:c r="K12" s="22"/>
    </x:row>
    <x:row r="13" ht="15" hidden="0" customHeight="1">
      <x:c r="A13" s="22" t="str">
        <x:v>40_VAC_B</x:v>
      </x:c>
      <x:c r="B13" s="22" t="str">
        <x:v>PASS</x:v>
      </x:c>
      <x:c r="C13" s="22" t="n">
        <x:v>9</x:v>
      </x:c>
      <x:c r="D13" s="22" t="n">
        <x:v>0</x:v>
      </x:c>
      <x:c r="E13" s="22" t="n">
        <x:v>0</x:v>
      </x:c>
      <x:c r="F13" s="22" t="n">
        <x:v>0</x:v>
      </x:c>
      <x:c r="G13" s="22" t="str">
        <x:v>Calculation / validation section</x:v>
      </x:c>
      <x:c r="H13" s="22" t="str">
        <x:v>No diagnostic raised</x:v>
      </x:c>
      <x:c r="I13" s="22"/>
      <x:c r="J13" s="22"/>
      <x:c r="K13" s="22"/>
    </x:row>
    <x:row r="14" ht="15" hidden="0" customHeight="1">
      <x:c r="A14" s="22" t="str">
        <x:v>40_VAC_C</x:v>
      </x:c>
      <x:c r="B14" s="22" t="str">
        <x:v>PASS</x:v>
      </x:c>
      <x:c r="C14" s="22" t="n">
        <x:v>9</x:v>
      </x:c>
      <x:c r="D14" s="22" t="n">
        <x:v>0</x:v>
      </x:c>
      <x:c r="E14" s="22" t="n">
        <x:v>0</x:v>
      </x:c>
      <x:c r="F14" s="22" t="n">
        <x:v>0</x:v>
      </x:c>
      <x:c r="G14" s="22" t="str">
        <x:v>Calculation / validation section</x:v>
      </x:c>
      <x:c r="H14" s="22" t="str">
        <x:v>No diagnostic raised</x:v>
      </x:c>
      <x:c r="I14" s="22"/>
      <x:c r="J14" s="22"/>
      <x:c r="K14" s="22"/>
    </x:row>
    <x:row r="15" ht="26.399999618530273" hidden="0" customHeight="1">
      <x:c r="A15" s="22" t="str">
        <x:v>42_VAC_A_Filter</x:v>
      </x:c>
      <x:c r="B15" s="22" t="str">
        <x:v>WARNING</x:v>
      </x:c>
      <x:c r="C15" s="22" t="n">
        <x:v>6</x:v>
      </x:c>
      <x:c r="D15" s="22" t="n">
        <x:v>0</x:v>
      </x:c>
      <x:c r="E15" s="22" t="n">
        <x:v>1</x:v>
      </x:c>
      <x:c r="F15" s="22" t="n">
        <x:v>0</x:v>
      </x:c>
      <x:c r="G15" s="22" t="str">
        <x:v>Calculation / validation section</x:v>
      </x:c>
      <x:c r="H15" s="22" t="str">
        <x:v>Single-pole attenuation at switching frequency is only -1.7 dB.</x:v>
      </x:c>
      <x:c r="I15" s="22"/>
      <x:c r="J15" s="22"/>
      <x:c r="K15" s="22"/>
    </x:row>
    <x:row r="16" ht="26.399999618530273" hidden="0" customHeight="1">
      <x:c r="A16" s="22" t="str">
        <x:v>42_VAC_B_Filter</x:v>
      </x:c>
      <x:c r="B16" s="22" t="str">
        <x:v>WARNING</x:v>
      </x:c>
      <x:c r="C16" s="22" t="n">
        <x:v>6</x:v>
      </x:c>
      <x:c r="D16" s="22" t="n">
        <x:v>0</x:v>
      </x:c>
      <x:c r="E16" s="22" t="n">
        <x:v>1</x:v>
      </x:c>
      <x:c r="F16" s="22" t="n">
        <x:v>0</x:v>
      </x:c>
      <x:c r="G16" s="22" t="str">
        <x:v>Calculation / validation section</x:v>
      </x:c>
      <x:c r="H16" s="22" t="str">
        <x:v>Single-pole attenuation at switching frequency is only -1.7 dB.</x:v>
      </x:c>
      <x:c r="I16" s="22"/>
      <x:c r="J16" s="22"/>
      <x:c r="K16" s="22"/>
    </x:row>
    <x:row r="17" ht="26.399999618530273" hidden="0" customHeight="1">
      <x:c r="A17" s="22" t="str">
        <x:v>42_VAC_C_Filter</x:v>
      </x:c>
      <x:c r="B17" s="22" t="str">
        <x:v>WARNING</x:v>
      </x:c>
      <x:c r="C17" s="22" t="n">
        <x:v>6</x:v>
      </x:c>
      <x:c r="D17" s="22" t="n">
        <x:v>0</x:v>
      </x:c>
      <x:c r="E17" s="22" t="n">
        <x:v>1</x:v>
      </x:c>
      <x:c r="F17" s="22" t="n">
        <x:v>0</x:v>
      </x:c>
      <x:c r="G17" s="22" t="str">
        <x:v>Calculation / validation section</x:v>
      </x:c>
      <x:c r="H17" s="22" t="str">
        <x:v>Single-pole attenuation at switching frequency is only -1.7 dB.</x:v>
      </x:c>
      <x:c r="I17" s="22"/>
      <x:c r="J17" s="22"/>
      <x:c r="K17" s="22"/>
    </x:row>
    <x:row r="18" ht="15" hidden="0" customHeight="1">
      <x:c r="A18" s="22" t="str">
        <x:v>16_Phase_Matching</x:v>
      </x:c>
      <x:c r="B18" s="22" t="str">
        <x:v>PASS</x:v>
      </x:c>
      <x:c r="C18" s="22" t="n">
        <x:v>5</x:v>
      </x:c>
      <x:c r="D18" s="22" t="n">
        <x:v>0</x:v>
      </x:c>
      <x:c r="E18" s="22" t="n">
        <x:v>0</x:v>
      </x:c>
      <x:c r="F18" s="22" t="n">
        <x:v>0</x:v>
      </x:c>
      <x:c r="G18" s="22" t="str">
        <x:v>Calculation / validation section</x:v>
      </x:c>
      <x:c r="H18" s="22" t="str">
        <x:v>No diagnostic raised</x:v>
      </x:c>
      <x:c r="I18" s="22"/>
      <x:c r="J18" s="22"/>
      <x:c r="K18" s="22"/>
    </x:row>
    <x:row r="19" ht="15" hidden="0" customHeight="1">
      <x:c r="A19" s="22" t="str">
        <x:v>52_Sampling_Sync</x:v>
      </x:c>
      <x:c r="B19" s="22" t="str">
        <x:v>PASS</x:v>
      </x:c>
      <x:c r="C19" s="22" t="n">
        <x:v>19</x:v>
      </x:c>
      <x:c r="D19" s="22" t="n">
        <x:v>0</x:v>
      </x:c>
      <x:c r="E19" s="22" t="n">
        <x:v>0</x:v>
      </x:c>
      <x:c r="F19" s="22" t="n">
        <x:v>0</x:v>
      </x:c>
      <x:c r="G19" s="22" t="str">
        <x:v>Calculation / validation section</x:v>
      </x:c>
      <x:c r="H19" s="22" t="str">
        <x:v>No diagnostic raised</x:v>
      </x:c>
      <x:c r="I19" s="22"/>
      <x:c r="J19" s="22"/>
      <x:c r="K19" s="22"/>
    </x:row>
    <x:row r="20" ht="26.399999618530273" hidden="0" customHeight="1">
      <x:c r="A20" s="22" t="str">
        <x:v>30_IDC_Shunt</x:v>
      </x:c>
      <x:c r="B20" s="22" t="str">
        <x:v>WARNING</x:v>
      </x:c>
      <x:c r="C20" s="22" t="n">
        <x:v>13</x:v>
      </x:c>
      <x:c r="D20" s="22" t="n">
        <x:v>0</x:v>
      </x:c>
      <x:c r="E20" s="22" t="n">
        <x:v>0</x:v>
      </x:c>
      <x:c r="F20" s="22" t="n">
        <x:v>1</x:v>
      </x:c>
      <x:c r="G20" s="22" t="str">
        <x:v>Calculation / validation section</x:v>
      </x:c>
      <x:c r="H20" s="22" t="str">
        <x:v>IDC amplifier input offset is not configured.</x:v>
      </x:c>
      <x:c r="I20" s="22"/>
      <x:c r="J20" s="22"/>
      <x:c r="K20" s="22"/>
    </x:row>
    <x:row r="21" ht="15" hidden="0" customHeight="1">
      <x:c r="A21" s="22" t="str">
        <x:v>41_VDC</x:v>
      </x:c>
      <x:c r="B21" s="22" t="str">
        <x:v>PASS</x:v>
      </x:c>
      <x:c r="C21" s="22" t="n">
        <x:v>5</x:v>
      </x:c>
      <x:c r="D21" s="22" t="n">
        <x:v>0</x:v>
      </x:c>
      <x:c r="E21" s="22" t="n">
        <x:v>0</x:v>
      </x:c>
      <x:c r="F21" s="22" t="n">
        <x:v>0</x:v>
      </x:c>
      <x:c r="G21" s="22" t="str">
        <x:v>Calculation / validation section</x:v>
      </x:c>
      <x:c r="H21" s="22" t="str">
        <x:v>No diagnostic raised</x:v>
      </x:c>
      <x:c r="I21" s="22"/>
      <x:c r="J21" s="22"/>
      <x:c r="K21" s="22"/>
    </x:row>
    <x:row r="22" ht="26.399999618530273" hidden="0" customHeight="1">
      <x:c r="A22" s="22" t="str">
        <x:v>31_IDC_Filter</x:v>
      </x:c>
      <x:c r="B22" s="22" t="str">
        <x:v>WARNING</x:v>
      </x:c>
      <x:c r="C22" s="22" t="n">
        <x:v>6</x:v>
      </x:c>
      <x:c r="D22" s="22" t="n">
        <x:v>0</x:v>
      </x:c>
      <x:c r="E22" s="22" t="n">
        <x:v>1</x:v>
      </x:c>
      <x:c r="F22" s="22" t="n">
        <x:v>0</x:v>
      </x:c>
      <x:c r="G22" s="22" t="str">
        <x:v>Calculation / validation section</x:v>
      </x:c>
      <x:c r="H22" s="22" t="str">
        <x:v>Single-pole attenuation at switching frequency is only -13.4 dB.</x:v>
      </x:c>
      <x:c r="I22" s="22"/>
      <x:c r="J22" s="22"/>
      <x:c r="K22" s="22"/>
    </x:row>
    <x:row r="23" ht="15" hidden="0" customHeight="1">
      <x:c r="A23" s="22" t="str">
        <x:v>43_VDC_Filter</x:v>
      </x:c>
      <x:c r="B23" s="22" t="str">
        <x:v>PASS</x:v>
      </x:c>
      <x:c r="C23" s="22" t="n">
        <x:v>6</x:v>
      </x:c>
      <x:c r="D23" s="22" t="n">
        <x:v>0</x:v>
      </x:c>
      <x:c r="E23" s="22" t="n">
        <x:v>0</x:v>
      </x:c>
      <x:c r="F23" s="22" t="n">
        <x:v>0</x:v>
      </x:c>
      <x:c r="G23" s="22" t="str">
        <x:v>Calculation / validation section</x:v>
      </x:c>
      <x:c r="H23" s="22" t="str">
        <x:v>No diagnostic raised</x:v>
      </x:c>
      <x:c r="I23" s="22"/>
      <x:c r="J23" s="22"/>
      <x:c r="K23" s="22"/>
    </x:row>
    <x:row r="24" ht="39.599998474121094" hidden="0" customHeight="1">
      <x:c r="A24" s="22" t="str">
        <x:v>50_ADC_Timing</x:v>
      </x:c>
      <x:c r="B24" s="22" t="str">
        <x:v>WARNING</x:v>
      </x:c>
      <x:c r="C24" s="22" t="n">
        <x:v>8</x:v>
      </x:c>
      <x:c r="D24" s="22" t="n">
        <x:v>0</x:v>
      </x:c>
      <x:c r="E24" s="22" t="n">
        <x:v>0</x:v>
      </x:c>
      <x:c r="F24" s="22" t="n">
        <x:v>1</x:v>
      </x:c>
      <x:c r="G24" s="22" t="str">
        <x:v>Calculation / validation section</x:v>
      </x:c>
      <x:c r="H24" s="22" t="str">
        <x:v>Exact ADC acquisition model is not evaluated because MCU internal parameters are not provided.</x:v>
      </x:c>
      <x:c r="I24" s="22"/>
      <x:c r="J24" s="22"/>
      <x:c r="K24" s="22"/>
    </x:row>
    <x:row r="25" ht="26.399999618530273" hidden="0" customHeight="1">
      <x:c r="A25" s="22" t="str">
        <x:v>55_IAC_Delay</x:v>
      </x:c>
      <x:c r="B25" s="22" t="str">
        <x:v>WARNING</x:v>
      </x:c>
      <x:c r="C25" s="22" t="n">
        <x:v>7</x:v>
      </x:c>
      <x:c r="D25" s="22" t="n">
        <x:v>0</x:v>
      </x:c>
      <x:c r="E25" s="22" t="n">
        <x:v>0</x:v>
      </x:c>
      <x:c r="F25" s="22" t="n">
        <x:v>1</x:v>
      </x:c>
      <x:c r="G25" s="22" t="str">
        <x:v>Calculation / validation section</x:v>
      </x:c>
      <x:c r="H25" s="22" t="str">
        <x:v>Delay budget is incomplete; missing: adc, isr, pwm.</x:v>
      </x:c>
      <x:c r="I25" s="22"/>
      <x:c r="J25" s="22"/>
      <x:c r="K25" s="22"/>
    </x:row>
    <x:row r="26" ht="26.399999618530273" hidden="0" customHeight="1">
      <x:c r="A26" s="22" t="str">
        <x:v>55_IDC_Delay</x:v>
      </x:c>
      <x:c r="B26" s="22" t="str">
        <x:v>WARNING</x:v>
      </x:c>
      <x:c r="C26" s="22" t="n">
        <x:v>7</x:v>
      </x:c>
      <x:c r="D26" s="22" t="n">
        <x:v>0</x:v>
      </x:c>
      <x:c r="E26" s="22" t="n">
        <x:v>0</x:v>
      </x:c>
      <x:c r="F26" s="22" t="n">
        <x:v>1</x:v>
      </x:c>
      <x:c r="G26" s="22" t="str">
        <x:v>Calculation / validation section</x:v>
      </x:c>
      <x:c r="H26" s="22" t="str">
        <x:v>Delay budget is incomplete; missing: isolation, adc, isr, pwm.</x:v>
      </x:c>
      <x:c r="I26" s="22"/>
      <x:c r="J26" s="22"/>
      <x:c r="K26" s="22"/>
    </x:row>
    <x:row r="27" ht="26.399999618530273" hidden="0" customHeight="1">
      <x:c r="A27" s="22" t="str">
        <x:v>55_VAC_Delay</x:v>
      </x:c>
      <x:c r="B27" s="22" t="str">
        <x:v>WARNING</x:v>
      </x:c>
      <x:c r="C27" s="22" t="n">
        <x:v>7</x:v>
      </x:c>
      <x:c r="D27" s="22" t="n">
        <x:v>0</x:v>
      </x:c>
      <x:c r="E27" s="22" t="n">
        <x:v>0</x:v>
      </x:c>
      <x:c r="F27" s="22" t="n">
        <x:v>1</x:v>
      </x:c>
      <x:c r="G27" s="22" t="str">
        <x:v>Calculation / validation section</x:v>
      </x:c>
      <x:c r="H27" s="22" t="str">
        <x:v>Delay budget is incomplete; missing: adc, isr, pwm.</x:v>
      </x:c>
      <x:c r="I27" s="22"/>
      <x:c r="J27" s="22"/>
      <x:c r="K27" s="22"/>
    </x:row>
    <x:row r="28" ht="26.399999618530273" hidden="0" customHeight="1">
      <x:c r="A28" s="22" t="str">
        <x:v>55_VDC_Delay</x:v>
      </x:c>
      <x:c r="B28" s="22" t="str">
        <x:v>WARNING</x:v>
      </x:c>
      <x:c r="C28" s="22" t="n">
        <x:v>7</x:v>
      </x:c>
      <x:c r="D28" s="22" t="n">
        <x:v>0</x:v>
      </x:c>
      <x:c r="E28" s="22" t="n">
        <x:v>0</x:v>
      </x:c>
      <x:c r="F28" s="22" t="n">
        <x:v>1</x:v>
      </x:c>
      <x:c r="G28" s="22" t="str">
        <x:v>Calculation / validation section</x:v>
      </x:c>
      <x:c r="H28" s="22" t="str">
        <x:v>Delay budget is incomplete; missing: sensor, isolation, adc, isr, pwm.</x:v>
      </x:c>
      <x:c r="I28" s="22"/>
      <x:c r="J28" s="22"/>
      <x:c r="K28" s="22"/>
    </x:row>
    <x:row r="29" ht="26.399999618530273" hidden="0" customHeight="1">
      <x:c r="A29" s="22" t="str">
        <x:v>60_IAC_Error</x:v>
      </x:c>
      <x:c r="B29" s="22" t="str">
        <x:v>WARNING</x:v>
      </x:c>
      <x:c r="C29" s="22" t="n">
        <x:v>2</x:v>
      </x:c>
      <x:c r="D29" s="22" t="n">
        <x:v>0</x:v>
      </x:c>
      <x:c r="E29" s="22" t="n">
        <x:v>0</x:v>
      </x:c>
      <x:c r="F29" s="22" t="n">
        <x:v>1</x:v>
      </x:c>
      <x:c r="G29" s="22" t="str">
        <x:v>Calculation / validation section</x:v>
      </x:c>
      <x:c r="H29" s="22" t="str">
        <x:v>No channel error-source data are configured.</x:v>
      </x:c>
      <x:c r="I29" s="22"/>
      <x:c r="J29" s="22"/>
      <x:c r="K29" s="22"/>
    </x:row>
    <x:row r="30" ht="26.399999618530273" hidden="0" customHeight="1">
      <x:c r="A30" s="22" t="str">
        <x:v>60_IDC_Error</x:v>
      </x:c>
      <x:c r="B30" s="22" t="str">
        <x:v>WARNING</x:v>
      </x:c>
      <x:c r="C30" s="22" t="n">
        <x:v>2</x:v>
      </x:c>
      <x:c r="D30" s="22" t="n">
        <x:v>0</x:v>
      </x:c>
      <x:c r="E30" s="22" t="n">
        <x:v>0</x:v>
      </x:c>
      <x:c r="F30" s="22" t="n">
        <x:v>1</x:v>
      </x:c>
      <x:c r="G30" s="22" t="str">
        <x:v>Calculation / validation section</x:v>
      </x:c>
      <x:c r="H30" s="22" t="str">
        <x:v>No channel error-source data are configured.</x:v>
      </x:c>
      <x:c r="I30" s="22"/>
      <x:c r="J30" s="22"/>
      <x:c r="K30" s="22"/>
    </x:row>
    <x:row r="31">
      <x:c r="A31" t="str">
        <x:v>60_VAC_Error</x:v>
      </x:c>
      <x:c r="B31" t="str">
        <x:v>WARNING</x:v>
      </x:c>
      <x:c r="C31" t="n">
        <x:v>2</x:v>
      </x:c>
      <x:c r="D31" t="n">
        <x:v>0</x:v>
      </x:c>
      <x:c r="E31" t="n">
        <x:v>0</x:v>
      </x:c>
      <x:c r="F31" t="n">
        <x:v>1</x:v>
      </x:c>
      <x:c r="G31" t="str">
        <x:v>Calculation / validation section</x:v>
      </x:c>
      <x:c r="H31" t="str">
        <x:v>No channel error-source data are configured.</x:v>
      </x:c>
    </x:row>
    <x:row r="32">
      <x:c r="A32" t="str">
        <x:v>60_VDC_Error</x:v>
      </x:c>
      <x:c r="B32" t="str">
        <x:v>WARNING</x:v>
      </x:c>
      <x:c r="C32" t="n">
        <x:v>2</x:v>
      </x:c>
      <x:c r="D32" t="n">
        <x:v>0</x:v>
      </x:c>
      <x:c r="E32" t="n">
        <x:v>0</x:v>
      </x:c>
      <x:c r="F32" t="n">
        <x:v>1</x:v>
      </x:c>
      <x:c r="G32" t="str">
        <x:v>Calculation / validation section</x:v>
      </x:c>
      <x:c r="H32" t="str">
        <x:v>No channel error-source data are configured.</x:v>
      </x:c>
    </x:row>
  </x:sheetData>
  <x:mergeCells>
    <x:mergeCell ref="A1:H1"/>
  </x:mergeCells>
  <x:conditionalFormatting sqref="B4:B32">
    <x:cfRule type="expression" dxfId="0" priority="1">
      <x:formula>B4="PASS"</x:formula>
    </x:cfRule>
    <x:cfRule type="expression" dxfId="1" priority="2">
      <x:formula>B4="WARNING"</x:formula>
    </x:cfRule>
    <x:cfRule type="expression" dxfId="2" priority="3">
      <x:formula>B4="FAIL"</x:formula>
    </x:cfRule>
    <x:cfRule type="expression" dxfId="3" priority="4">
      <x:formula>B4="NOT_EVALUATED"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7bbabb444054c3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24" hidden="0" customWidth="1"/>
    <x:col min="4" max="4" width="26" hidden="0" customWidth="1"/>
  </x:cols>
  <x:sheetData>
    <x:row r="1" ht="15" hidden="0" customHeight="1">
      <x:c r="A1" s="12" t="str">
        <x:v>Path</x:v>
      </x:c>
      <x:c r="B1" s="12" t="str">
        <x:v>Value</x:v>
      </x:c>
      <x:c r="C1" s="12" t="str">
        <x:v>Type</x:v>
      </x:c>
      <x:c r="D1" s="12" t="str">
        <x:v>Source/Qualification</x:v>
      </x:c>
    </x:row>
    <x:row r="2" ht="26.399999618530273" hidden="0" customHeight="1">
      <x:c r="A2" s="22" t="str">
        <x:v>metadata.profile</x:v>
      </x:c>
      <x:c r="B2" s="22" t="str">
        <x:v>THREE_PHASE_22KW_F29H85X_TEMPLATE</x:v>
      </x:c>
      <x:c r="C2" s="22" t="str">
        <x:v>str</x:v>
      </x:c>
      <x:c r="D2" s="22" t="str">
        <x:v>user/profile input</x:v>
      </x:c>
    </x:row>
    <x:row r="3" ht="15" hidden="0" customHeight="1">
      <x:c r="A3" s="22" t="str">
        <x:v>metadata.version</x:v>
      </x:c>
      <x:c r="B3" s="22" t="str">
        <x:v>0.2.0</x:v>
      </x:c>
      <x:c r="C3" s="22" t="str">
        <x:v>str</x:v>
      </x:c>
      <x:c r="D3" s="22" t="str">
        <x:v>user/profile input</x:v>
      </x:c>
    </x:row>
    <x:row r="4" ht="66" hidden="0" customHeight="1">
      <x:c r="A4" s="22" t="str">
        <x:v>metadata.description</x:v>
      </x:c>
      <x:c r="B4" s="22" t="str">
        <x:v>Provisional 22 kW three-phase bidirectional one-stage OBC sensing-design template; replace all hardware-specific values before release.</x:v>
      </x:c>
      <x:c r="C4" s="22" t="str">
        <x:v>str</x:v>
      </x:c>
      <x:c r="D4" s="22" t="str">
        <x:v>user/profile input</x:v>
      </x:c>
    </x:row>
    <x:row r="5" ht="15" hidden="0" customHeight="1">
      <x:c r="A5" s="22" t="str">
        <x:v>system.phase_count</x:v>
      </x:c>
      <x:c r="B5" s="22" t="n">
        <x:v>3</x:v>
      </x:c>
      <x:c r="C5" s="22" t="str">
        <x:v>int</x:v>
      </x:c>
      <x:c r="D5" s="22" t="str">
        <x:v>user/profile input</x:v>
      </x:c>
    </x:row>
    <x:row r="6" ht="15" hidden="0" customHeight="1">
      <x:c r="A6" s="22" t="str">
        <x:v>system.ac_voltage_basis</x:v>
      </x:c>
      <x:c r="B6" s="22" t="str">
        <x:v>line_to_line</x:v>
      </x:c>
      <x:c r="C6" s="22" t="str">
        <x:v>str</x:v>
      </x:c>
      <x:c r="D6" s="22" t="str">
        <x:v>user/profile input</x:v>
      </x:c>
    </x:row>
    <x:row r="7" ht="15" hidden="0" customHeight="1">
      <x:c r="A7" s="22" t="str">
        <x:v>system.phase_unbalance_factor</x:v>
      </x:c>
      <x:c r="B7" s="22" t="n">
        <x:v>1.05</x:v>
      </x:c>
      <x:c r="C7" s="22" t="str">
        <x:v>float</x:v>
      </x:c>
      <x:c r="D7" s="22" t="str">
        <x:v>user/profile input</x:v>
      </x:c>
    </x:row>
    <x:row r="8" ht="15" hidden="0" customHeight="1">
      <x:c r="A8" s="22" t="str">
        <x:v>system.rated_power_w</x:v>
      </x:c>
      <x:c r="B8" s="22" t="n">
        <x:v>22000</x:v>
      </x:c>
      <x:c r="C8" s="22" t="str">
        <x:v>float</x:v>
      </x:c>
      <x:c r="D8" s="22" t="str">
        <x:v>user/profile input</x:v>
      </x:c>
    </x:row>
    <x:row r="9" ht="15" hidden="0" customHeight="1">
      <x:c r="A9" s="22" t="str">
        <x:v>system.peak_power_w</x:v>
      </x:c>
      <x:c r="B9" s="22" t="n">
        <x:v>22000</x:v>
      </x:c>
      <x:c r="C9" s="22" t="str">
        <x:v>float</x:v>
      </x:c>
      <x:c r="D9" s="22" t="str">
        <x:v>user/profile input</x:v>
      </x:c>
    </x:row>
    <x:row r="10" ht="15" hidden="0" customHeight="1">
      <x:c r="A10" s="22" t="str">
        <x:v>system.vac_min_rms_v</x:v>
      </x:c>
      <x:c r="B10" s="22" t="n">
        <x:v>304</x:v>
      </x:c>
      <x:c r="C10" s="22" t="str">
        <x:v>float</x:v>
      </x:c>
      <x:c r="D10" s="22" t="str">
        <x:v>user/profile input</x:v>
      </x:c>
    </x:row>
    <x:row r="11" ht="15" hidden="0" customHeight="1">
      <x:c r="A11" s="22" t="str">
        <x:v>system.vac_nom_rms_v</x:v>
      </x:c>
      <x:c r="B11" s="22" t="n">
        <x:v>380</x:v>
      </x:c>
      <x:c r="C11" s="22" t="str">
        <x:v>float</x:v>
      </x:c>
      <x:c r="D11" s="22" t="str">
        <x:v>user/profile input</x:v>
      </x:c>
    </x:row>
    <x:row r="12" ht="15" hidden="0" customHeight="1">
      <x:c r="A12" s="22" t="str">
        <x:v>system.vac_max_rms_v</x:v>
      </x:c>
      <x:c r="B12" s="22" t="n">
        <x:v>480</x:v>
      </x:c>
      <x:c r="C12" s="22" t="str">
        <x:v>float</x:v>
      </x:c>
      <x:c r="D12" s="22" t="str">
        <x:v>user/profile input</x:v>
      </x:c>
    </x:row>
    <x:row r="13" ht="15" hidden="0" customHeight="1">
      <x:c r="A13" s="22" t="str">
        <x:v>system.vdc_min_v</x:v>
      </x:c>
      <x:c r="B13" s="22" t="n">
        <x:v>550</x:v>
      </x:c>
      <x:c r="C13" s="22" t="str">
        <x:v>float</x:v>
      </x:c>
      <x:c r="D13" s="22" t="str">
        <x:v>user/profile input</x:v>
      </x:c>
    </x:row>
    <x:row r="14" ht="15" hidden="0" customHeight="1">
      <x:c r="A14" s="22" t="str">
        <x:v>system.vdc_nom_v</x:v>
      </x:c>
      <x:c r="B14" s="22" t="n">
        <x:v>750</x:v>
      </x:c>
      <x:c r="C14" s="22" t="str">
        <x:v>float</x:v>
      </x:c>
      <x:c r="D14" s="22" t="str">
        <x:v>user/profile input</x:v>
      </x:c>
    </x:row>
    <x:row r="15" ht="15" hidden="0" customHeight="1">
      <x:c r="A15" s="22" t="str">
        <x:v>system.vdc_max_v</x:v>
      </x:c>
      <x:c r="B15" s="22" t="n">
        <x:v>850</x:v>
      </x:c>
      <x:c r="C15" s="22" t="str">
        <x:v>float</x:v>
      </x:c>
      <x:c r="D15" s="22" t="str">
        <x:v>user/profile input</x:v>
      </x:c>
    </x:row>
    <x:row r="16" ht="15" hidden="0" customHeight="1">
      <x:c r="A16" s="22" t="str">
        <x:v>system.efficiency_min</x:v>
      </x:c>
      <x:c r="B16" s="22" t="n">
        <x:v>0.95</x:v>
      </x:c>
      <x:c r="C16" s="22" t="str">
        <x:v>float</x:v>
      </x:c>
      <x:c r="D16" s="22" t="str">
        <x:v>user/profile input</x:v>
      </x:c>
    </x:row>
    <x:row r="17" ht="15" hidden="0" customHeight="1">
      <x:c r="A17" s="22" t="str">
        <x:v>system.power_factor_min</x:v>
      </x:c>
      <x:c r="B17" s="22" t="n">
        <x:v>0.99</x:v>
      </x:c>
      <x:c r="C17" s="22" t="str">
        <x:v>float</x:v>
      </x:c>
      <x:c r="D17" s="22" t="str">
        <x:v>user/profile input</x:v>
      </x:c>
    </x:row>
    <x:row r="18" ht="15" hidden="0" customHeight="1">
      <x:c r="A18" s="22" t="str">
        <x:v>system.switching_frequency_hz</x:v>
      </x:c>
      <x:c r="B18" s="22" t="n">
        <x:v>100000</x:v>
      </x:c>
      <x:c r="C18" s="22" t="str">
        <x:v>float</x:v>
      </x:c>
      <x:c r="D18" s="22" t="str">
        <x:v>user/profile input</x:v>
      </x:c>
    </x:row>
    <x:row r="19" ht="15" hidden="0" customHeight="1">
      <x:c r="A19" s="22" t="str">
        <x:v>system.overload_factor</x:v>
      </x:c>
      <x:c r="B19" s="22" t="n">
        <x:v>1.1</x:v>
      </x:c>
      <x:c r="C19" s="22" t="str">
        <x:v>float</x:v>
      </x:c>
      <x:c r="D19" s="22" t="str">
        <x:v>user/profile input</x:v>
      </x:c>
    </x:row>
    <x:row r="20" ht="15" hidden="0" customHeight="1">
      <x:c r="A20" s="22" t="str">
        <x:v>system.default_range_margin</x:v>
      </x:c>
      <x:c r="B20" s="22" t="n">
        <x:v>1.2</x:v>
      </x:c>
      <x:c r="C20" s="22" t="str">
        <x:v>float</x:v>
      </x:c>
      <x:c r="D20" s="22" t="str">
        <x:v>user/profile input</x:v>
      </x:c>
    </x:row>
    <x:row r="21" ht="15" hidden="0" customHeight="1">
      <x:c r="A21" s="22" t="str">
        <x:v>system.bidirectional</x:v>
      </x:c>
      <x:c r="B21" s="28" t="b">
        <x:v>1</x:v>
      </x:c>
      <x:c r="C21" s="22" t="str">
        <x:v>bool</x:v>
      </x:c>
      <x:c r="D21" s="22" t="str">
        <x:v>user/profile input</x:v>
      </x:c>
    </x:row>
    <x:row r="22" ht="15" hidden="0" customHeight="1">
      <x:c r="A22" s="22" t="str">
        <x:v>control.iac_loop_bandwidth_hz</x:v>
      </x:c>
      <x:c r="B22" s="22" t="n">
        <x:v>3000</x:v>
      </x:c>
      <x:c r="C22" s="22" t="str">
        <x:v>float</x:v>
      </x:c>
      <x:c r="D22" s="22" t="str">
        <x:v>user/profile input</x:v>
      </x:c>
    </x:row>
    <x:row r="23" ht="15" hidden="0" customHeight="1">
      <x:c r="A23" s="22" t="str">
        <x:v>control.idc_loop_bandwidth_hz</x:v>
      </x:c>
      <x:c r="B23" s="22" t="n">
        <x:v>1500</x:v>
      </x:c>
      <x:c r="C23" s="22" t="str">
        <x:v>float</x:v>
      </x:c>
      <x:c r="D23" s="22" t="str">
        <x:v>user/profile input</x:v>
      </x:c>
    </x:row>
    <x:row r="24" ht="15" hidden="0" customHeight="1">
      <x:c r="A24" s="22" t="str">
        <x:v>control.vdc_loop_bandwidth_hz</x:v>
      </x:c>
      <x:c r="B24" s="22" t="n">
        <x:v>20</x:v>
      </x:c>
      <x:c r="C24" s="22" t="str">
        <x:v>float</x:v>
      </x:c>
      <x:c r="D24" s="22" t="str">
        <x:v>user/profile input</x:v>
      </x:c>
    </x:row>
    <x:row r="25" ht="15" hidden="0" customHeight="1">
      <x:c r="A25" s="22" t="str">
        <x:v>control.pll_bandwidth_hz</x:v>
      </x:c>
      <x:c r="B25" s="22" t="n">
        <x:v>30</x:v>
      </x:c>
      <x:c r="C25" s="22" t="str">
        <x:v>float</x:v>
      </x:c>
      <x:c r="D25" s="22" t="str">
        <x:v>user/profile input</x:v>
      </x:c>
    </x:row>
    <x:row r="26" ht="15" hidden="0" customHeight="1">
      <x:c r="A26" s="22" t="str">
        <x:v>control.line_frequency_hz</x:v>
      </x:c>
      <x:c r="B26" s="22" t="n">
        <x:v>50</x:v>
      </x:c>
      <x:c r="C26" s="22" t="str">
        <x:v>float</x:v>
      </x:c>
      <x:c r="D26" s="22" t="str">
        <x:v>user/profile input</x:v>
      </x:c>
    </x:row>
    <x:row r="27" ht="15" hidden="0" customHeight="1">
      <x:c r="A27" s="22" t="str">
        <x:v>targets.bandwidth_multiplier</x:v>
      </x:c>
      <x:c r="B27" s="22" t="n">
        <x:v>5</x:v>
      </x:c>
      <x:c r="C27" s="22" t="str">
        <x:v>float</x:v>
      </x:c>
      <x:c r="D27" s="22" t="str">
        <x:v>user/profile input</x:v>
      </x:c>
    </x:row>
    <x:row r="28" ht="15" hidden="0" customHeight="1">
      <x:c r="A28" s="22" t="str">
        <x:v>targets.iac_phase_loss_deg</x:v>
      </x:c>
      <x:c r="B28" s="22" t="n">
        <x:v>15</x:v>
      </x:c>
      <x:c r="C28" s="22" t="str">
        <x:v>float</x:v>
      </x:c>
      <x:c r="D28" s="22" t="str">
        <x:v>user/profile input</x:v>
      </x:c>
    </x:row>
    <x:row r="29" ht="15" hidden="0" customHeight="1">
      <x:c r="A29" s="22" t="str">
        <x:v>targets.idc_phase_loss_deg</x:v>
      </x:c>
      <x:c r="B29" s="22" t="n">
        <x:v>15</x:v>
      </x:c>
      <x:c r="C29" s="22" t="str">
        <x:v>float</x:v>
      </x:c>
      <x:c r="D29" s="22" t="str">
        <x:v>user/profile input</x:v>
      </x:c>
    </x:row>
    <x:row r="30" ht="15" hidden="0" customHeight="1">
      <x:c r="A30" s="22" t="str">
        <x:v>targets.vdc_phase_loss_deg</x:v>
      </x:c>
      <x:c r="B30" s="22" t="n">
        <x:v>5</x:v>
      </x:c>
      <x:c r="C30" s="22" t="str">
        <x:v>float</x:v>
      </x:c>
      <x:c r="D30" s="22" t="str">
        <x:v>user/profile input</x:v>
      </x:c>
    </x:row>
    <x:row r="31" ht="15" hidden="0" customHeight="1">
      <x:c r="A31" s="22" t="str">
        <x:v>targets.vac_line_phase_error_deg</x:v>
      </x:c>
      <x:c r="B31" s="22" t="n">
        <x:v>0.5</x:v>
      </x:c>
      <x:c r="C31" s="22" t="str">
        <x:v>float</x:v>
      </x:c>
      <x:c r="D31" s="22" t="str">
        <x:v>user/profile input</x:v>
      </x:c>
    </x:row>
    <x:row r="32" ht="15" hidden="0" customHeight="1">
      <x:c r="A32" s="22" t="str">
        <x:v>targets.vac_pll_phase_loss_deg</x:v>
      </x:c>
      <x:c r="B32" s="22" t="n">
        <x:v>5</x:v>
      </x:c>
      <x:c r="C32" s="22" t="str">
        <x:v>float</x:v>
      </x:c>
      <x:c r="D32" s="22" t="str">
        <x:v>user/profile input</x:v>
      </x:c>
    </x:row>
    <x:row r="33" ht="15" hidden="0" customHeight="1">
      <x:c r="A33" s="22" t="str">
        <x:v>targets.phase_current_gain_mismatch_percent</x:v>
      </x:c>
      <x:c r="B33" s="22" t="n">
        <x:v>0.2</x:v>
      </x:c>
      <x:c r="C33" s="22" t="str">
        <x:v>float</x:v>
      </x:c>
      <x:c r="D33" s="22" t="str">
        <x:v>user/profile input</x:v>
      </x:c>
    </x:row>
    <x:row r="34" ht="15" hidden="0" customHeight="1">
      <x:c r="A34" s="22" t="str">
        <x:v>targets.phase_voltage_gain_mismatch_percent</x:v>
      </x:c>
      <x:c r="B34" s="22" t="n">
        <x:v>0.2</x:v>
      </x:c>
      <x:c r="C34" s="22" t="str">
        <x:v>float</x:v>
      </x:c>
      <x:c r="D34" s="22" t="str">
        <x:v>user/profile input</x:v>
      </x:c>
    </x:row>
    <x:row r="35" ht="15" hidden="0" customHeight="1">
      <x:c r="A35" s="22" t="str">
        <x:v>targets.phase_zero_code_mismatch</x:v>
      </x:c>
      <x:c r="B35" s="22" t="n">
        <x:v>5</x:v>
      </x:c>
      <x:c r="C35" s="22" t="str">
        <x:v>float</x:v>
      </x:c>
      <x:c r="D35" s="22" t="str">
        <x:v>user/profile input</x:v>
      </x:c>
    </x:row>
    <x:row r="36" ht="15" hidden="0" customHeight="1">
      <x:c r="A36" s="22" t="str">
        <x:v>adc.resolution_bits</x:v>
      </x:c>
      <x:c r="B36" s="22" t="n">
        <x:v>12</x:v>
      </x:c>
      <x:c r="C36" s="22" t="str">
        <x:v>int</x:v>
      </x:c>
      <x:c r="D36" s="22" t="str">
        <x:v>user/profile input</x:v>
      </x:c>
    </x:row>
    <x:row r="37" ht="15" hidden="0" customHeight="1">
      <x:c r="A37" s="22" t="str">
        <x:v>adc.reference_voltage_v</x:v>
      </x:c>
      <x:c r="B37" s="22" t="n">
        <x:v>3</x:v>
      </x:c>
      <x:c r="C37" s="22" t="str">
        <x:v>float</x:v>
      </x:c>
      <x:c r="D37" s="22" t="str">
        <x:v>user/profile input</x:v>
      </x:c>
    </x:row>
    <x:row r="38" ht="15" hidden="0" customHeight="1">
      <x:c r="A38" s="22" t="str">
        <x:v>adc.sysclk_hz</x:v>
      </x:c>
      <x:c r="B38" s="22" t="n">
        <x:v>200000000</x:v>
      </x:c>
      <x:c r="C38" s="22" t="str">
        <x:v>float</x:v>
      </x:c>
      <x:c r="D38" s="22" t="str">
        <x:v>user/profile input</x:v>
      </x:c>
    </x:row>
    <x:row r="39" ht="15" hidden="0" customHeight="1">
      <x:c r="A39" s="22" t="str">
        <x:v>adc.minimum_sample_window_s</x:v>
      </x:c>
      <x:c r="B39" s="22" t="n">
        <x:v>0</x:v>
      </x:c>
      <x:c r="C39" s="22" t="str">
        <x:v>float</x:v>
      </x:c>
      <x:c r="D39" s="22" t="str">
        <x:v>user/profile input</x:v>
      </x:c>
    </x:row>
    <x:row r="40" ht="15" hidden="0" customHeight="1">
      <x:c r="A40" s="22" t="str">
        <x:v>adc.existing_sample_window_cycles</x:v>
      </x:c>
      <x:c r="B40" s="22" t="n">
        <x:v>20</x:v>
      </x:c>
      <x:c r="C40" s="22" t="str">
        <x:v>int</x:v>
      </x:c>
      <x:c r="D40" s="22" t="str">
        <x:v>user/profile input</x:v>
      </x:c>
    </x:row>
    <x:row r="41" ht="15" hidden="0" customHeight="1">
      <x:c r="A41" s="22" t="str">
        <x:v>adc.acquisition.target_error_lsb</x:v>
      </x:c>
      <x:c r="B41" s="22" t="n">
        <x:v>0.5</x:v>
      </x:c>
      <x:c r="C41" s="22" t="str">
        <x:v>float</x:v>
      </x:c>
      <x:c r="D41" s="22" t="str">
        <x:v>user/profile input</x:v>
      </x:c>
    </x:row>
    <x:row r="42" ht="15" hidden="0" customHeight="1">
      <x:c r="A42" s="22" t="str">
        <x:v>adc.acquisition.safety_factor</x:v>
      </x:c>
      <x:c r="B42" s="22" t="n">
        <x:v>1.5</x:v>
      </x:c>
      <x:c r="C42" s="22" t="str">
        <x:v>float</x:v>
      </x:c>
      <x:c r="D42" s="22" t="str">
        <x:v>user/profile input</x:v>
      </x:c>
    </x:row>
    <x:row r="43" ht="15" hidden="0" customHeight="1">
      <x:c r="A43" s="22" t="str">
        <x:v>adc.acquisition.simplified_source_resistance_ohm</x:v>
      </x:c>
      <x:c r="B43" s="22" t="n">
        <x:v>100</x:v>
      </x:c>
      <x:c r="C43" s="22" t="str">
        <x:v>float</x:v>
      </x:c>
      <x:c r="D43" s="22" t="str">
        <x:v>user/profile input</x:v>
      </x:c>
    </x:row>
    <x:row r="44" ht="15" hidden="0" customHeight="1">
      <x:c r="A44" s="22" t="str">
        <x:v>adc.acquisition.simplified_total_capacitance_f</x:v>
      </x:c>
      <x:c r="B44" s="22" t="n">
        <x:v>3e-11</x:v>
      </x:c>
      <x:c r="C44" s="22" t="str">
        <x:v>float</x:v>
      </x:c>
      <x:c r="D44" s="22" t="str">
        <x:v>user/profile input</x:v>
      </x:c>
    </x:row>
    <x:row r="45" ht="15" hidden="0" customHeight="1">
      <x:c r="A45" s="22" t="str">
        <x:v>adc.acquisition.exact_sample_capacitance_f</x:v>
      </x:c>
      <x:c r="B45" s="22"/>
      <x:c r="C45" s="22" t="str">
        <x:v>NoneType</x:v>
      </x:c>
      <x:c r="D45" s="22" t="str">
        <x:v>user/profile input</x:v>
      </x:c>
    </x:row>
    <x:row r="46" ht="15" hidden="0" customHeight="1">
      <x:c r="A46" s="22" t="str">
        <x:v>adc.acquisition.exact_switch_resistance_ohm</x:v>
      </x:c>
      <x:c r="B46" s="22"/>
      <x:c r="C46" s="22" t="str">
        <x:v>NoneType</x:v>
      </x:c>
      <x:c r="D46" s="22" t="str">
        <x:v>user/profile input</x:v>
      </x:c>
    </x:row>
    <x:row r="47" ht="15" hidden="0" customHeight="1">
      <x:c r="A47" s="22" t="str">
        <x:v>adc.acquisition.exact_source_resistance_ohm</x:v>
      </x:c>
      <x:c r="B47" s="22"/>
      <x:c r="C47" s="22" t="str">
        <x:v>NoneType</x:v>
      </x:c>
      <x:c r="D47" s="22" t="str">
        <x:v>user/profile input</x:v>
      </x:c>
    </x:row>
    <x:row r="48" ht="15" hidden="0" customHeight="1">
      <x:c r="A48" s="22" t="str">
        <x:v>environment.temperature_min_c</x:v>
      </x:c>
      <x:c r="B48" s="22" t="n">
        <x:v>-40</x:v>
      </x:c>
      <x:c r="C48" s="22" t="str">
        <x:v>float</x:v>
      </x:c>
      <x:c r="D48" s="22" t="str">
        <x:v>user/profile input</x:v>
      </x:c>
    </x:row>
    <x:row r="49" ht="15" hidden="0" customHeight="1">
      <x:c r="A49" s="22" t="str">
        <x:v>environment.temperature_max_c</x:v>
      </x:c>
      <x:c r="B49" s="22" t="n">
        <x:v>125</x:v>
      </x:c>
      <x:c r="C49" s="22" t="str">
        <x:v>float</x:v>
      </x:c>
      <x:c r="D49" s="22" t="str">
        <x:v>user/profile input</x:v>
      </x:c>
    </x:row>
    <x:row r="50" ht="15" hidden="0" customHeight="1">
      <x:c r="A50" s="22" t="str">
        <x:v>environment.temperature_span_c</x:v>
      </x:c>
      <x:c r="B50" s="22" t="n">
        <x:v>165</x:v>
      </x:c>
      <x:c r="C50" s="22" t="str">
        <x:v>float</x:v>
      </x:c>
      <x:c r="D50" s="22" t="str">
        <x:v>user/profile input</x:v>
      </x:c>
    </x:row>
    <x:row r="51" ht="15" hidden="0" customHeight="1">
      <x:c r="A51" s="22" t="str">
        <x:v>channels.iac.phase_names</x:v>
      </x:c>
      <x:c r="B51" s="22" t="str">
        <x:v>['A', 'B', 'C']</x:v>
      </x:c>
      <x:c r="C51" s="22" t="str">
        <x:v>list</x:v>
      </x:c>
      <x:c r="D51" s="22" t="str">
        <x:v>user/profile input</x:v>
      </x:c>
    </x:row>
    <x:row r="52" ht="15" hidden="0" customHeight="1">
      <x:c r="A52" s="22" t="str">
        <x:v>channels.iac.reconstruction</x:v>
      </x:c>
      <x:c r="B52" s="22" t="str">
        <x:v>none</x:v>
      </x:c>
      <x:c r="C52" s="22" t="str">
        <x:v>str</x:v>
      </x:c>
      <x:c r="D52" s="22" t="str">
        <x:v>user/profile input</x:v>
      </x:c>
    </x:row>
    <x:row r="53" ht="15" hidden="0" customHeight="1">
      <x:c r="A53" s="22" t="str">
        <x:v>channels.iac.range_margin</x:v>
      </x:c>
      <x:c r="B53" s="22" t="n">
        <x:v>1.2</x:v>
      </x:c>
      <x:c r="C53" s="22" t="str">
        <x:v>float</x:v>
      </x:c>
      <x:c r="D53" s="22" t="str">
        <x:v>user/profile input</x:v>
      </x:c>
    </x:row>
    <x:row r="54" ht="15" hidden="0" customHeight="1">
      <x:c r="A54" s="22" t="str">
        <x:v>channels.iac.accuracy_target_percent_fs</x:v>
      </x:c>
      <x:c r="B54" s="22" t="n">
        <x:v>0.5</x:v>
      </x:c>
      <x:c r="C54" s="22" t="str">
        <x:v>float</x:v>
      </x:c>
      <x:c r="D54" s="22" t="str">
        <x:v>user/profile input</x:v>
      </x:c>
    </x:row>
    <x:row r="55" ht="15" hidden="0" customHeight="1">
      <x:c r="A55" s="22" t="str">
        <x:v>channels.iac.adc_headroom_low_v</x:v>
      </x:c>
      <x:c r="B55" s="22" t="n">
        <x:v>0.2</x:v>
      </x:c>
      <x:c r="C55" s="22" t="str">
        <x:v>float</x:v>
      </x:c>
      <x:c r="D55" s="22" t="str">
        <x:v>user/profile input</x:v>
      </x:c>
    </x:row>
    <x:row r="56" ht="15" hidden="0" customHeight="1">
      <x:c r="A56" s="22" t="str">
        <x:v>channels.iac.adc_headroom_high_v</x:v>
      </x:c>
      <x:c r="B56" s="22" t="n">
        <x:v>0.2</x:v>
      </x:c>
      <x:c r="C56" s="22" t="str">
        <x:v>float</x:v>
      </x:c>
      <x:c r="D56" s="22" t="str">
        <x:v>user/profile input</x:v>
      </x:c>
    </x:row>
    <x:row r="57" ht="15" hidden="0" customHeight="1">
      <x:c r="A57" s="22" t="str">
        <x:v>channels.iac.hall.sensor_zero_output_v</x:v>
      </x:c>
      <x:c r="B57" s="22" t="n">
        <x:v>1.65</x:v>
      </x:c>
      <x:c r="C57" s="22" t="str">
        <x:v>float</x:v>
      </x:c>
      <x:c r="D57" s="22" t="str">
        <x:v>user/profile input</x:v>
      </x:c>
    </x:row>
    <x:row r="58" ht="15" hidden="0" customHeight="1">
      <x:c r="A58" s="22" t="str">
        <x:v>channels.iac.hall.sensor_sensitivity_v_per_a</x:v>
      </x:c>
      <x:c r="B58" s="22" t="n">
        <x:v>0.0125</x:v>
      </x:c>
      <x:c r="C58" s="22" t="str">
        <x:v>float</x:v>
      </x:c>
      <x:c r="D58" s="22" t="str">
        <x:v>user/profile input</x:v>
      </x:c>
    </x:row>
    <x:row r="59" ht="15" hidden="0" customHeight="1">
      <x:c r="A59" s="22" t="str">
        <x:v>channels.iac.hall.front_end_gain</x:v>
      </x:c>
      <x:c r="B59" s="22" t="n">
        <x:v>1</x:v>
      </x:c>
      <x:c r="C59" s="22" t="str">
        <x:v>float</x:v>
      </x:c>
      <x:c r="D59" s="22" t="str">
        <x:v>user/profile input</x:v>
      </x:c>
    </x:row>
    <x:row r="60" ht="15" hidden="0" customHeight="1">
      <x:c r="A60" s="22" t="str">
        <x:v>channels.iac.hall.sensor_bandwidth_hz</x:v>
      </x:c>
      <x:c r="B60" s="22" t="n">
        <x:v>500000</x:v>
      </x:c>
      <x:c r="C60" s="22" t="str">
        <x:v>float</x:v>
      </x:c>
      <x:c r="D60" s="22" t="str">
        <x:v>user/profile input</x:v>
      </x:c>
    </x:row>
    <x:row r="61" ht="15" hidden="0" customHeight="1">
      <x:c r="A61" s="22" t="str">
        <x:v>channels.iac.filter.resistor_ohm</x:v>
      </x:c>
      <x:c r="B61" s="22" t="n">
        <x:v>100</x:v>
      </x:c>
      <x:c r="C61" s="22" t="str">
        <x:v>float</x:v>
      </x:c>
      <x:c r="D61" s="22" t="str">
        <x:v>user/profile input</x:v>
      </x:c>
    </x:row>
    <x:row r="62" ht="15" hidden="0" customHeight="1">
      <x:c r="A62" s="22" t="str">
        <x:v>channels.iac.filter.capacitor_f</x:v>
      </x:c>
      <x:c r="B62" s="22" t="n">
        <x:v>1e-8</x:v>
      </x:c>
      <x:c r="C62" s="22" t="str">
        <x:v>float</x:v>
      </x:c>
      <x:c r="D62" s="22" t="str">
        <x:v>user/profile input</x:v>
      </x:c>
    </x:row>
    <x:row r="63" ht="15" hidden="0" customHeight="1">
      <x:c r="A63" s="22" t="str">
        <x:v>channels.iac.delay.sensor_s</x:v>
      </x:c>
      <x:c r="B63" s="22" t="n">
        <x:v>2e-7</x:v>
      </x:c>
      <x:c r="C63" s="22" t="str">
        <x:v>float</x:v>
      </x:c>
      <x:c r="D63" s="22" t="str">
        <x:v>user/profile input</x:v>
      </x:c>
    </x:row>
    <x:row r="64" ht="15" hidden="0" customHeight="1">
      <x:c r="A64" s="22" t="str">
        <x:v>channels.iac.delay.isolation_s</x:v>
      </x:c>
      <x:c r="B64" s="22" t="n">
        <x:v>0</x:v>
      </x:c>
      <x:c r="C64" s="22" t="str">
        <x:v>float</x:v>
      </x:c>
      <x:c r="D64" s="22" t="str">
        <x:v>user/profile input</x:v>
      </x:c>
    </x:row>
    <x:row r="65" ht="15" hidden="0" customHeight="1">
      <x:c r="A65" s="22" t="str">
        <x:v>channels.iac.delay.adc_s</x:v>
      </x:c>
      <x:c r="B65" s="22"/>
      <x:c r="C65" s="22" t="str">
        <x:v>NoneType</x:v>
      </x:c>
      <x:c r="D65" s="22" t="str">
        <x:v>user/profile input</x:v>
      </x:c>
    </x:row>
    <x:row r="66" ht="15" hidden="0" customHeight="1">
      <x:c r="A66" s="22" t="str">
        <x:v>channels.iac.delay.isr_s</x:v>
      </x:c>
      <x:c r="B66" s="22"/>
      <x:c r="C66" s="22" t="str">
        <x:v>NoneType</x:v>
      </x:c>
      <x:c r="D66" s="22" t="str">
        <x:v>user/profile input</x:v>
      </x:c>
    </x:row>
    <x:row r="67" ht="15" hidden="0" customHeight="1">
      <x:c r="A67" s="22" t="str">
        <x:v>channels.iac.delay.pwm_s</x:v>
      </x:c>
      <x:c r="B67" s="22"/>
      <x:c r="C67" s="22" t="str">
        <x:v>NoneType</x:v>
      </x:c>
      <x:c r="D67" s="22" t="str">
        <x:v>user/profile input</x:v>
      </x:c>
    </x:row>
    <x:row r="68" ht="15" hidden="0" customHeight="1">
      <x:c r="A68" s="22" t="str">
        <x:v>channels.iac.phase_overrides.B.hall.front_end_gain</x:v>
      </x:c>
      <x:c r="B68" s="22" t="n">
        <x:v>0.9995</x:v>
      </x:c>
      <x:c r="C68" s="22" t="str">
        <x:v>float</x:v>
      </x:c>
      <x:c r="D68" s="22" t="str">
        <x:v>user/profile input</x:v>
      </x:c>
    </x:row>
    <x:row r="69" ht="15" hidden="0" customHeight="1">
      <x:c r="A69" s="22" t="str">
        <x:v>channels.iac.phase_overrides.C.hall.front_end_gain</x:v>
      </x:c>
      <x:c r="B69" s="22" t="n">
        <x:v>1.0004</x:v>
      </x:c>
      <x:c r="C69" s="22" t="str">
        <x:v>float</x:v>
      </x:c>
      <x:c r="D69" s="22" t="str">
        <x:v>user/profile input</x:v>
      </x:c>
    </x:row>
    <x:row r="70" ht="15" hidden="0" customHeight="1">
      <x:c r="A70" s="22" t="str">
        <x:v>channels.iac.error_sources</x:v>
      </x:c>
      <x:c r="B70" s="22" t="str">
        <x:v>[]</x:v>
      </x:c>
      <x:c r="C70" s="22" t="str">
        <x:v>list</x:v>
      </x:c>
      <x:c r="D70" s="22" t="str">
        <x:v>user/profile input</x:v>
      </x:c>
    </x:row>
    <x:row r="71" ht="15" hidden="0" customHeight="1">
      <x:c r="A71" s="22" t="str">
        <x:v>channels.idc.range_margin</x:v>
      </x:c>
      <x:c r="B71" s="22" t="n">
        <x:v>1.2</x:v>
      </x:c>
      <x:c r="C71" s="22" t="str">
        <x:v>float</x:v>
      </x:c>
      <x:c r="D71" s="22" t="str">
        <x:v>user/profile input</x:v>
      </x:c>
    </x:row>
    <x:row r="72" ht="15" hidden="0" customHeight="1">
      <x:c r="A72" s="22" t="str">
        <x:v>channels.idc.accuracy_target_percent_fs</x:v>
      </x:c>
      <x:c r="B72" s="22" t="n">
        <x:v>0.5</x:v>
      </x:c>
      <x:c r="C72" s="22" t="str">
        <x:v>float</x:v>
      </x:c>
      <x:c r="D72" s="22" t="str">
        <x:v>user/profile input</x:v>
      </x:c>
    </x:row>
    <x:row r="73" ht="15" hidden="0" customHeight="1">
      <x:c r="A73" s="22" t="str">
        <x:v>channels.idc.adc_headroom_low_v</x:v>
      </x:c>
      <x:c r="B73" s="22" t="n">
        <x:v>0.2</x:v>
      </x:c>
      <x:c r="C73" s="22" t="str">
        <x:v>float</x:v>
      </x:c>
      <x:c r="D73" s="22" t="str">
        <x:v>user/profile input</x:v>
      </x:c>
    </x:row>
    <x:row r="74" ht="15" hidden="0" customHeight="1">
      <x:c r="A74" s="22" t="str">
        <x:v>channels.idc.adc_headroom_high_v</x:v>
      </x:c>
      <x:c r="B74" s="22" t="n">
        <x:v>0.2</x:v>
      </x:c>
      <x:c r="C74" s="22" t="str">
        <x:v>float</x:v>
      </x:c>
      <x:c r="D74" s="22" t="str">
        <x:v>user/profile input</x:v>
      </x:c>
    </x:row>
    <x:row r="75" ht="15" hidden="0" customHeight="1">
      <x:c r="A75" s="22" t="str">
        <x:v>channels.idc.shunt.resistance_ohm</x:v>
      </x:c>
      <x:c r="B75" s="22" t="n">
        <x:v>0.0005</x:v>
      </x:c>
      <x:c r="C75" s="22" t="str">
        <x:v>float</x:v>
      </x:c>
      <x:c r="D75" s="22" t="str">
        <x:v>user/profile input</x:v>
      </x:c>
    </x:row>
    <x:row r="76" ht="15" hidden="0" customHeight="1">
      <x:c r="A76" s="22" t="str">
        <x:v>channels.idc.amplifier.input_clip_v</x:v>
      </x:c>
      <x:c r="B76" s="22" t="n">
        <x:v>0.05</x:v>
      </x:c>
      <x:c r="C76" s="22" t="str">
        <x:v>float</x:v>
      </x:c>
      <x:c r="D76" s="22" t="str">
        <x:v>user/profile input</x:v>
      </x:c>
    </x:row>
    <x:row r="77" ht="15" hidden="0" customHeight="1">
      <x:c r="A77" s="22" t="str">
        <x:v>channels.idc.amplifier.reference_voltage_v</x:v>
      </x:c>
      <x:c r="B77" s="22" t="n">
        <x:v>3.3</x:v>
      </x:c>
      <x:c r="C77" s="22" t="str">
        <x:v>float</x:v>
      </x:c>
      <x:c r="D77" s="22" t="str">
        <x:v>user/profile input</x:v>
      </x:c>
    </x:row>
    <x:row r="78" ht="15" hidden="0" customHeight="1">
      <x:c r="A78" s="22" t="str">
        <x:v>channels.idc.amplifier.input_range_utilization</x:v>
      </x:c>
      <x:c r="B78" s="22" t="n">
        <x:v>0.8</x:v>
      </x:c>
      <x:c r="C78" s="22" t="str">
        <x:v>float</x:v>
      </x:c>
      <x:c r="D78" s="22" t="str">
        <x:v>user/profile input</x:v>
      </x:c>
    </x:row>
    <x:row r="79" ht="15" hidden="0" customHeight="1">
      <x:c r="A79" s="22" t="str">
        <x:v>channels.idc.amplifier.input_offset_v</x:v>
      </x:c>
      <x:c r="B79" s="22"/>
      <x:c r="C79" s="22" t="str">
        <x:v>NoneType</x:v>
      </x:c>
      <x:c r="D79" s="22" t="str">
        <x:v>user/profile input</x:v>
      </x:c>
    </x:row>
    <x:row r="80" ht="15" hidden="0" customHeight="1">
      <x:c r="A80" s="22" t="str">
        <x:v>channels.idc.amplifier.bandwidth_hz</x:v>
      </x:c>
      <x:c r="B80" s="22" t="n">
        <x:v>300000</x:v>
      </x:c>
      <x:c r="C80" s="22" t="str">
        <x:v>float</x:v>
      </x:c>
      <x:c r="D80" s="22" t="str">
        <x:v>user/profile input</x:v>
      </x:c>
    </x:row>
    <x:row r="81" ht="15" hidden="0" customHeight="1">
      <x:c r="A81" s="22" t="str">
        <x:v>channels.idc.filter.resistor_ohm</x:v>
      </x:c>
      <x:c r="B81" s="22" t="n">
        <x:v>330</x:v>
      </x:c>
      <x:c r="C81" s="22" t="str">
        <x:v>float</x:v>
      </x:c>
      <x:c r="D81" s="22" t="str">
        <x:v>user/profile input</x:v>
      </x:c>
    </x:row>
    <x:row r="82" ht="15" hidden="0" customHeight="1">
      <x:c r="A82" s="22" t="str">
        <x:v>channels.idc.filter.capacitor_f</x:v>
      </x:c>
      <x:c r="B82" s="22" t="n">
        <x:v>2.2e-8</x:v>
      </x:c>
      <x:c r="C82" s="22" t="str">
        <x:v>float</x:v>
      </x:c>
      <x:c r="D82" s="22" t="str">
        <x:v>user/profile input</x:v>
      </x:c>
    </x:row>
    <x:row r="83" ht="15" hidden="0" customHeight="1">
      <x:c r="A83" s="22" t="str">
        <x:v>channels.idc.delay.sensor_s</x:v>
      </x:c>
      <x:c r="B83" s="22" t="n">
        <x:v>0</x:v>
      </x:c>
      <x:c r="C83" s="22" t="str">
        <x:v>float</x:v>
      </x:c>
      <x:c r="D83" s="22" t="str">
        <x:v>user/profile input</x:v>
      </x:c>
    </x:row>
    <x:row r="84" ht="15" hidden="0" customHeight="1">
      <x:c r="A84" s="22" t="str">
        <x:v>channels.idc.delay.isolation_s</x:v>
      </x:c>
      <x:c r="B84" s="22"/>
      <x:c r="C84" s="22" t="str">
        <x:v>NoneType</x:v>
      </x:c>
      <x:c r="D84" s="22" t="str">
        <x:v>user/profile input</x:v>
      </x:c>
    </x:row>
    <x:row r="85" ht="15" hidden="0" customHeight="1">
      <x:c r="A85" s="22" t="str">
        <x:v>channels.idc.delay.adc_s</x:v>
      </x:c>
      <x:c r="B85" s="22"/>
      <x:c r="C85" s="22" t="str">
        <x:v>NoneType</x:v>
      </x:c>
      <x:c r="D85" s="22" t="str">
        <x:v>user/profile input</x:v>
      </x:c>
    </x:row>
    <x:row r="86" ht="15" hidden="0" customHeight="1">
      <x:c r="A86" s="22" t="str">
        <x:v>channels.idc.delay.isr_s</x:v>
      </x:c>
      <x:c r="B86" s="22"/>
      <x:c r="C86" s="22" t="str">
        <x:v>NoneType</x:v>
      </x:c>
      <x:c r="D86" s="22" t="str">
        <x:v>user/profile input</x:v>
      </x:c>
    </x:row>
    <x:row r="87" ht="15" hidden="0" customHeight="1">
      <x:c r="A87" s="22" t="str">
        <x:v>channels.idc.delay.pwm_s</x:v>
      </x:c>
      <x:c r="B87" s="22"/>
      <x:c r="C87" s="22" t="str">
        <x:v>NoneType</x:v>
      </x:c>
      <x:c r="D87" s="22" t="str">
        <x:v>user/profile input</x:v>
      </x:c>
    </x:row>
    <x:row r="88" ht="15" hidden="0" customHeight="1">
      <x:c r="A88" s="22" t="str">
        <x:v>channels.idc.error_sources</x:v>
      </x:c>
      <x:c r="B88" s="22" t="str">
        <x:v>[]</x:v>
      </x:c>
      <x:c r="C88" s="22" t="str">
        <x:v>list</x:v>
      </x:c>
      <x:c r="D88" s="22" t="str">
        <x:v>user/profile input</x:v>
      </x:c>
    </x:row>
    <x:row r="89" ht="15" hidden="0" customHeight="1">
      <x:c r="A89" s="22" t="str">
        <x:v>channels.vac.measurement_basis</x:v>
      </x:c>
      <x:c r="B89" s="22" t="str">
        <x:v>phase_to_neutral</x:v>
      </x:c>
      <x:c r="C89" s="22" t="str">
        <x:v>str</x:v>
      </x:c>
      <x:c r="D89" s="22" t="str">
        <x:v>user/profile input</x:v>
      </x:c>
    </x:row>
    <x:row r="90" ht="15" hidden="0" customHeight="1">
      <x:c r="A90" s="22" t="str">
        <x:v>channels.vac.phase_names</x:v>
      </x:c>
      <x:c r="B90" s="22" t="str">
        <x:v>['A', 'B', 'C']</x:v>
      </x:c>
      <x:c r="C90" s="22" t="str">
        <x:v>list</x:v>
      </x:c>
      <x:c r="D90" s="22" t="str">
        <x:v>user/profile input</x:v>
      </x:c>
    </x:row>
    <x:row r="91" ht="15" hidden="0" customHeight="1">
      <x:c r="A91" s="22" t="str">
        <x:v>channels.vac.range_margin</x:v>
      </x:c>
      <x:c r="B91" s="22" t="n">
        <x:v>1.15</x:v>
      </x:c>
      <x:c r="C91" s="22" t="str">
        <x:v>float</x:v>
      </x:c>
      <x:c r="D91" s="22" t="str">
        <x:v>user/profile input</x:v>
      </x:c>
    </x:row>
    <x:row r="92" ht="15" hidden="0" customHeight="1">
      <x:c r="A92" s="22" t="str">
        <x:v>channels.vac.accuracy_target_percent_fs</x:v>
      </x:c>
      <x:c r="B92" s="22" t="n">
        <x:v>0.5</x:v>
      </x:c>
      <x:c r="C92" s="22" t="str">
        <x:v>float</x:v>
      </x:c>
      <x:c r="D92" s="22" t="str">
        <x:v>user/profile input</x:v>
      </x:c>
    </x:row>
    <x:row r="93" ht="15" hidden="0" customHeight="1">
      <x:c r="A93" s="22" t="str">
        <x:v>channels.vac.divider.high_side_total_ohm</x:v>
      </x:c>
      <x:c r="B93" s="22" t="n">
        <x:v>1800000</x:v>
      </x:c>
      <x:c r="C93" s="22" t="str">
        <x:v>float</x:v>
      </x:c>
      <x:c r="D93" s="22" t="str">
        <x:v>user/profile input</x:v>
      </x:c>
    </x:row>
    <x:row r="94" ht="15" hidden="0" customHeight="1">
      <x:c r="A94" s="22" t="str">
        <x:v>channels.vac.divider.low_side_ohm</x:v>
      </x:c>
      <x:c r="B94" s="22" t="n">
        <x:v>3300</x:v>
      </x:c>
      <x:c r="C94" s="22" t="str">
        <x:v>float</x:v>
      </x:c>
      <x:c r="D94" s="22" t="str">
        <x:v>user/profile input</x:v>
      </x:c>
    </x:row>
    <x:row r="95" ht="15" hidden="0" customHeight="1">
      <x:c r="A95" s="22" t="str">
        <x:v>channels.vac.isolation.gain_v_per_v</x:v>
      </x:c>
      <x:c r="B95" s="22" t="n">
        <x:v>1</x:v>
      </x:c>
      <x:c r="C95" s="22" t="str">
        <x:v>float</x:v>
      </x:c>
      <x:c r="D95" s="22" t="str">
        <x:v>user/profile input</x:v>
      </x:c>
    </x:row>
    <x:row r="96" ht="15" hidden="0" customHeight="1">
      <x:c r="A96" s="22" t="str">
        <x:v>channels.vac.isolation.reference_voltage_v</x:v>
      </x:c>
      <x:c r="B96" s="22" t="n">
        <x:v>1.65</x:v>
      </x:c>
      <x:c r="C96" s="22" t="str">
        <x:v>float</x:v>
      </x:c>
      <x:c r="D96" s="22" t="str">
        <x:v>user/profile input</x:v>
      </x:c>
    </x:row>
    <x:row r="97" ht="15" hidden="0" customHeight="1">
      <x:c r="A97" s="22" t="str">
        <x:v>channels.vac.isolation.linear_input_abs_max_v</x:v>
      </x:c>
      <x:c r="B97" s="22" t="n">
        <x:v>1</x:v>
      </x:c>
      <x:c r="C97" s="22" t="str">
        <x:v>float</x:v>
      </x:c>
      <x:c r="D97" s="22" t="str">
        <x:v>user/profile input</x:v>
      </x:c>
    </x:row>
    <x:row r="98" ht="15" hidden="0" customHeight="1">
      <x:c r="A98" s="22" t="str">
        <x:v>channels.vac.isolation.input_range_utilization</x:v>
      </x:c>
      <x:c r="B98" s="22" t="n">
        <x:v>0.9</x:v>
      </x:c>
      <x:c r="C98" s="22" t="str">
        <x:v>float</x:v>
      </x:c>
      <x:c r="D98" s="22" t="str">
        <x:v>user/profile input</x:v>
      </x:c>
    </x:row>
    <x:row r="99" ht="15" hidden="0" customHeight="1">
      <x:c r="A99" s="22" t="str">
        <x:v>channels.vac.isolation.bandwidth_hz</x:v>
      </x:c>
      <x:c r="B99" s="22" t="n">
        <x:v>145000</x:v>
      </x:c>
      <x:c r="C99" s="22" t="str">
        <x:v>float</x:v>
      </x:c>
      <x:c r="D99" s="22" t="str">
        <x:v>user/profile input</x:v>
      </x:c>
    </x:row>
    <x:row r="100" ht="15" hidden="0" customHeight="1">
      <x:c r="A100" s="22" t="str">
        <x:v>channels.vac.filter.resistor_ohm</x:v>
      </x:c>
      <x:c r="B100" s="22" t="n">
        <x:v>100</x:v>
      </x:c>
      <x:c r="C100" s="22" t="str">
        <x:v>float</x:v>
      </x:c>
      <x:c r="D100" s="22" t="str">
        <x:v>user/profile input</x:v>
      </x:c>
    </x:row>
    <x:row r="101" ht="15" hidden="0" customHeight="1">
      <x:c r="A101" s="22" t="str">
        <x:v>channels.vac.filter.capacitor_f</x:v>
      </x:c>
      <x:c r="B101" s="22" t="n">
        <x:v>4.7e-9</x:v>
      </x:c>
      <x:c r="C101" s="22" t="str">
        <x:v>float</x:v>
      </x:c>
      <x:c r="D101" s="22" t="str">
        <x:v>user/profile input</x:v>
      </x:c>
    </x:row>
    <x:row r="102" ht="15" hidden="0" customHeight="1">
      <x:c r="A102" s="22" t="str">
        <x:v>channels.vac.delay.sensor_s</x:v>
      </x:c>
      <x:c r="B102" s="22" t="n">
        <x:v>0</x:v>
      </x:c>
      <x:c r="C102" s="22" t="str">
        <x:v>float</x:v>
      </x:c>
      <x:c r="D102" s="22" t="str">
        <x:v>user/profile input</x:v>
      </x:c>
    </x:row>
    <x:row r="103" ht="15" hidden="0" customHeight="1">
      <x:c r="A103" s="22" t="str">
        <x:v>channels.vac.delay.isolation_s</x:v>
      </x:c>
      <x:c r="B103" s="22" t="n">
        <x:v>0.0000029</x:v>
      </x:c>
      <x:c r="C103" s="22" t="str">
        <x:v>float</x:v>
      </x:c>
      <x:c r="D103" s="22" t="str">
        <x:v>user/profile input</x:v>
      </x:c>
    </x:row>
    <x:row r="104" ht="15" hidden="0" customHeight="1">
      <x:c r="A104" s="22" t="str">
        <x:v>channels.vac.delay.adc_s</x:v>
      </x:c>
      <x:c r="B104" s="22"/>
      <x:c r="C104" s="22" t="str">
        <x:v>NoneType</x:v>
      </x:c>
      <x:c r="D104" s="22" t="str">
        <x:v>user/profile input</x:v>
      </x:c>
    </x:row>
    <x:row r="105" ht="15" hidden="0" customHeight="1">
      <x:c r="A105" s="22" t="str">
        <x:v>channels.vac.delay.isr_s</x:v>
      </x:c>
      <x:c r="B105" s="22"/>
      <x:c r="C105" s="22" t="str">
        <x:v>NoneType</x:v>
      </x:c>
      <x:c r="D105" s="22" t="str">
        <x:v>user/profile input</x:v>
      </x:c>
    </x:row>
    <x:row r="106" ht="15" hidden="0" customHeight="1">
      <x:c r="A106" s="22" t="str">
        <x:v>channels.vac.delay.pwm_s</x:v>
      </x:c>
      <x:c r="B106" s="22"/>
      <x:c r="C106" s="22" t="str">
        <x:v>NoneType</x:v>
      </x:c>
      <x:c r="D106" s="22" t="str">
        <x:v>user/profile input</x:v>
      </x:c>
    </x:row>
    <x:row r="107" ht="15" hidden="0" customHeight="1">
      <x:c r="A107" s="22" t="str">
        <x:v>channels.vac.phase_overrides.B.divider.low_side_ohm</x:v>
      </x:c>
      <x:c r="B107" s="22" t="n">
        <x:v>3299</x:v>
      </x:c>
      <x:c r="C107" s="22" t="str">
        <x:v>float</x:v>
      </x:c>
      <x:c r="D107" s="22" t="str">
        <x:v>user/profile input</x:v>
      </x:c>
    </x:row>
    <x:row r="108" ht="15" hidden="0" customHeight="1">
      <x:c r="A108" s="22" t="str">
        <x:v>channels.vac.phase_overrides.C.divider.low_side_ohm</x:v>
      </x:c>
      <x:c r="B108" s="22" t="n">
        <x:v>3301</x:v>
      </x:c>
      <x:c r="C108" s="22" t="str">
        <x:v>float</x:v>
      </x:c>
      <x:c r="D108" s="22" t="str">
        <x:v>user/profile input</x:v>
      </x:c>
    </x:row>
    <x:row r="109" ht="15" hidden="0" customHeight="1">
      <x:c r="A109" s="22" t="str">
        <x:v>channels.vac.error_sources</x:v>
      </x:c>
      <x:c r="B109" s="22" t="str">
        <x:v>[]</x:v>
      </x:c>
      <x:c r="C109" s="22" t="str">
        <x:v>list</x:v>
      </x:c>
      <x:c r="D109" s="22" t="str">
        <x:v>user/profile input</x:v>
      </x:c>
    </x:row>
    <x:row r="110" ht="15" hidden="0" customHeight="1">
      <x:c r="A110" s="22" t="str">
        <x:v>channels.vdc.range_margin</x:v>
      </x:c>
      <x:c r="B110" s="22" t="n">
        <x:v>1.15</x:v>
      </x:c>
      <x:c r="C110" s="22" t="str">
        <x:v>float</x:v>
      </x:c>
      <x:c r="D110" s="22" t="str">
        <x:v>user/profile input</x:v>
      </x:c>
    </x:row>
    <x:row r="111" ht="15" hidden="0" customHeight="1">
      <x:c r="A111" s="22" t="str">
        <x:v>channels.vdc.accuracy_target_percent_fs</x:v>
      </x:c>
      <x:c r="B111" s="22" t="n">
        <x:v>0.5</x:v>
      </x:c>
      <x:c r="C111" s="22" t="str">
        <x:v>float</x:v>
      </x:c>
      <x:c r="D111" s="22" t="str">
        <x:v>user/profile input</x:v>
      </x:c>
    </x:row>
    <x:row r="112" ht="15" hidden="0" customHeight="1">
      <x:c r="A112" s="22" t="str">
        <x:v>channels.vdc.architecture</x:v>
      </x:c>
      <x:c r="B112" s="22" t="str">
        <x:v>divider</x:v>
      </x:c>
      <x:c r="C112" s="22" t="str">
        <x:v>str</x:v>
      </x:c>
      <x:c r="D112" s="22" t="str">
        <x:v>user/profile input</x:v>
      </x:c>
    </x:row>
    <x:row r="113" ht="15" hidden="0" customHeight="1">
      <x:c r="A113" s="22" t="str">
        <x:v>channels.vdc.divider.low_side_ohm</x:v>
      </x:c>
      <x:c r="B113" s="22" t="n">
        <x:v>10000</x:v>
      </x:c>
      <x:c r="C113" s="22" t="str">
        <x:v>float</x:v>
      </x:c>
      <x:c r="D113" s="22" t="str">
        <x:v>user/profile input</x:v>
      </x:c>
    </x:row>
    <x:row r="114" ht="15" hidden="0" customHeight="1">
      <x:c r="A114" s="22" t="str">
        <x:v>channels.vdc.divider.target_sense_v</x:v>
      </x:c>
      <x:c r="B114" s="22" t="n">
        <x:v>2.7</x:v>
      </x:c>
      <x:c r="C114" s="22" t="str">
        <x:v>float</x:v>
      </x:c>
      <x:c r="D114" s="22" t="str">
        <x:v>user/profile input</x:v>
      </x:c>
    </x:row>
    <x:row r="115" ht="15" hidden="0" customHeight="1">
      <x:c r="A115" s="22" t="str">
        <x:v>channels.vdc.direct_hv.high_voltage_clip_v</x:v>
      </x:c>
      <x:c r="B115" s="22" t="n">
        <x:v>2050</x:v>
      </x:c>
      <x:c r="C115" s="22" t="str">
        <x:v>float</x:v>
      </x:c>
      <x:c r="D115" s="22" t="str">
        <x:v>user/profile input</x:v>
      </x:c>
    </x:row>
    <x:row r="116" ht="15" hidden="0" customHeight="1">
      <x:c r="A116" s="22" t="str">
        <x:v>channels.vdc.direct_hv.reference_voltage_v</x:v>
      </x:c>
      <x:c r="B116" s="22" t="n">
        <x:v>3.3</x:v>
      </x:c>
      <x:c r="C116" s="22" t="str">
        <x:v>float</x:v>
      </x:c>
      <x:c r="D116" s="22" t="str">
        <x:v>user/profile input</x:v>
      </x:c>
    </x:row>
    <x:row r="117" ht="15" hidden="0" customHeight="1">
      <x:c r="A117" s="22" t="str">
        <x:v>channels.vdc.direct_hv.bandwidth_hz</x:v>
      </x:c>
      <x:c r="B117" s="22"/>
      <x:c r="C117" s="22" t="str">
        <x:v>NoneType</x:v>
      </x:c>
      <x:c r="D117" s="22" t="str">
        <x:v>user/profile input</x:v>
      </x:c>
    </x:row>
    <x:row r="118" ht="15" hidden="0" customHeight="1">
      <x:c r="A118" s="22" t="str">
        <x:v>channels.vdc.filter.resistor_ohm</x:v>
      </x:c>
      <x:c r="B118" s="22" t="n">
        <x:v>499</x:v>
      </x:c>
      <x:c r="C118" s="22" t="str">
        <x:v>float</x:v>
      </x:c>
      <x:c r="D118" s="22" t="str">
        <x:v>user/profile input</x:v>
      </x:c>
    </x:row>
    <x:row r="119" ht="15" hidden="0" customHeight="1">
      <x:c r="A119" s="22" t="str">
        <x:v>channels.vdc.filter.capacitor_f</x:v>
      </x:c>
      <x:c r="B119" s="22" t="n">
        <x:v>4.7e-8</x:v>
      </x:c>
      <x:c r="C119" s="22" t="str">
        <x:v>float</x:v>
      </x:c>
      <x:c r="D119" s="22" t="str">
        <x:v>user/profile input</x:v>
      </x:c>
    </x:row>
    <x:row r="120" ht="15" hidden="0" customHeight="1">
      <x:c r="A120" s="22" t="str">
        <x:v>channels.vdc.delay.sensor_s</x:v>
      </x:c>
      <x:c r="B120" s="22"/>
      <x:c r="C120" s="22" t="str">
        <x:v>NoneType</x:v>
      </x:c>
      <x:c r="D120" s="22" t="str">
        <x:v>user/profile input</x:v>
      </x:c>
    </x:row>
    <x:row r="121" ht="15" hidden="0" customHeight="1">
      <x:c r="A121" s="22" t="str">
        <x:v>channels.vdc.delay.isolation_s</x:v>
      </x:c>
      <x:c r="B121" s="22"/>
      <x:c r="C121" s="22" t="str">
        <x:v>NoneType</x:v>
      </x:c>
      <x:c r="D121" s="22" t="str">
        <x:v>user/profile input</x:v>
      </x:c>
    </x:row>
    <x:row r="122" ht="15" hidden="0" customHeight="1">
      <x:c r="A122" s="22" t="str">
        <x:v>channels.vdc.delay.adc_s</x:v>
      </x:c>
      <x:c r="B122" s="22"/>
      <x:c r="C122" s="22" t="str">
        <x:v>NoneType</x:v>
      </x:c>
      <x:c r="D122" s="22" t="str">
        <x:v>user/profile input</x:v>
      </x:c>
    </x:row>
    <x:row r="123" ht="15" hidden="0" customHeight="1">
      <x:c r="A123" s="22" t="str">
        <x:v>channels.vdc.delay.isr_s</x:v>
      </x:c>
      <x:c r="B123" s="22"/>
      <x:c r="C123" s="22" t="str">
        <x:v>NoneType</x:v>
      </x:c>
      <x:c r="D123" s="22" t="str">
        <x:v>user/profile input</x:v>
      </x:c>
    </x:row>
    <x:row r="124" ht="15" hidden="0" customHeight="1">
      <x:c r="A124" s="22" t="str">
        <x:v>channels.vdc.delay.pwm_s</x:v>
      </x:c>
      <x:c r="B124" s="22"/>
      <x:c r="C124" s="22" t="str">
        <x:v>NoneType</x:v>
      </x:c>
      <x:c r="D124" s="22" t="str">
        <x:v>user/profile input</x:v>
      </x:c>
    </x:row>
    <x:row r="125" ht="15" hidden="0" customHeight="1">
      <x:c r="A125" s="22" t="str">
        <x:v>channels.vdc.error_sources</x:v>
      </x:c>
      <x:c r="B125" s="22" t="str">
        <x:v>[]</x:v>
      </x:c>
      <x:c r="C125" s="22" t="str">
        <x:v>list</x:v>
      </x:c>
      <x:c r="D125" s="22" t="str">
        <x:v>user/profile input</x:v>
      </x:c>
    </x:row>
    <x:row r="126" ht="15" hidden="0" customHeight="1">
      <x:c r="A126" s="22" t="str">
        <x:v>sampling.trigger_source</x:v>
      </x:c>
      <x:c r="B126" s="22" t="str">
        <x:v>EPWM1_SOCA</x:v>
      </x:c>
      <x:c r="C126" s="22" t="str">
        <x:v>str</x:v>
      </x:c>
      <x:c r="D126" s="22" t="str">
        <x:v>user/profile input</x:v>
      </x:c>
    </x:row>
    <x:row r="127" ht="15" hidden="0" customHeight="1">
      <x:c r="A127" s="22" t="str">
        <x:v>sampling.trigger_position</x:v>
      </x:c>
      <x:c r="B127" s="22" t="str">
        <x:v>PWM_CENTER</x:v>
      </x:c>
      <x:c r="C127" s="22" t="str">
        <x:v>str</x:v>
      </x:c>
      <x:c r="D127" s="22" t="str">
        <x:v>user/profile input</x:v>
      </x:c>
    </x:row>
    <x:row r="128" ht="15" hidden="0" customHeight="1">
      <x:c r="A128" s="22" t="str">
        <x:v>sampling.simultaneous_required</x:v>
      </x:c>
      <x:c r="B128" s="28" t="b">
        <x:v>1</x:v>
      </x:c>
      <x:c r="C128" s="22" t="str">
        <x:v>bool</x:v>
      </x:c>
      <x:c r="D128" s="22" t="str">
        <x:v>user/profile input</x:v>
      </x:c>
    </x:row>
    <x:row r="129" ht="15" hidden="0" customHeight="1">
      <x:c r="A129" s="22" t="str">
        <x:v>sampling.samples_per_pwm_period</x:v>
      </x:c>
      <x:c r="B129" s="22" t="n">
        <x:v>1</x:v>
      </x:c>
      <x:c r="C129" s="22" t="str">
        <x:v>int</x:v>
      </x:c>
      <x:c r="D129" s="22" t="str">
        <x:v>user/profile input</x:v>
      </x:c>
    </x:row>
    <x:row r="130" ht="15" hidden="0" customHeight="1">
      <x:c r="A130" s="22" t="str">
        <x:v>sampling.maximum_channel_skew_s</x:v>
      </x:c>
      <x:c r="B130" s="22" t="n">
        <x:v>1e-7</x:v>
      </x:c>
      <x:c r="C130" s="22" t="str">
        <x:v>float</x:v>
      </x:c>
      <x:c r="D130" s="22" t="str">
        <x:v>user/profile input</x:v>
      </x:c>
    </x:row>
    <x:row r="131" ht="15" hidden="0" customHeight="1">
      <x:c r="A131" s="22" t="str">
        <x:v>sampling.max_skew_error_percent_fs</x:v>
      </x:c>
      <x:c r="B131" s="22" t="n">
        <x:v>0.2</x:v>
      </x:c>
      <x:c r="C131" s="22" t="str">
        <x:v>float</x:v>
      </x:c>
      <x:c r="D131" s="22" t="str">
        <x:v>user/profile input</x:v>
      </x:c>
    </x:row>
    <x:row r="132" ht="15" hidden="0" customHeight="1">
      <x:c r="A132" s="22" t="str">
        <x:v>sampling.max_current_slew_rate_a_per_s</x:v>
      </x:c>
      <x:c r="B132" s="22" t="str">
        <x:v>2.0e6</x:v>
      </x:c>
      <x:c r="C132" s="22" t="str">
        <x:v>str</x:v>
      </x:c>
      <x:c r="D132" s="22" t="str">
        <x:v>user/profile input</x:v>
      </x:c>
    </x:row>
    <x:row r="133" ht="15" hidden="0" customHeight="1">
      <x:c r="A133" s="22" t="str">
        <x:v>sampling.max_voltage_slew_rate_v_per_s</x:v>
      </x:c>
      <x:c r="B133" s="22" t="str">
        <x:v>2.0e5</x:v>
      </x:c>
      <x:c r="C133" s="22" t="str">
        <x:v>str</x:v>
      </x:c>
      <x:c r="D133" s="22" t="str">
        <x:v>user/profile input</x:v>
      </x:c>
    </x:row>
    <x:row r="134" ht="290.3999938964844" hidden="0" customHeight="1">
      <x:c r="A134" s="22" t="str">
        <x:v>sampling.channels</x:v>
      </x:c>
      <x:c r="B134" s="22" t="str">
        <x:v>[{'name': 'IAC_A', 'quantity': 'current', 'adc_module': 'ADCA', 'soc': 0, 'aperture_delay_s': 0.0}, {'name': 'IAC_B', 'quantity': 'current', 'adc_module': 'ADCB', 'soc': 0, 'aperture_delay_s': 0.0}, {'name': 'IAC_C', 'quantity': 'current', 'adc_module': 'ADCC', 'soc': 0, 'aperture_delay_s': 0.0}, {'name': 'VAC_A', 'quantity': 'voltage', 'adc_module': 'ADCD', 'soc': 0, 'aperture_delay_s': 0.0}, {'name': 'VAC_B', 'quantity': 'voltage', 'adc_module': 'ADCE', 'soc': 0, 'aperture_delay_s': 0.0}, {'name': 'VAC_C', 'quantity': 'voltage', 'adc_module': 'ADCD', 'soc': 1, 'aperture_delay_s': 6e-08}]</x:v>
      </x:c>
      <x:c r="C134" s="22" t="str">
        <x:v>list</x:v>
      </x:c>
      <x:c r="D134" s="22" t="str">
        <x:v>user/profile input</x:v>
      </x:c>
    </x:row>
    <x:row r="135" ht="778.7999877929688" hidden="0" customHeight="1">
      <x:c r="A135" s="22" t="str">
        <x:v>assumptions</x:v>
      </x:c>
      <x:c r="B135" s="22" t="str">
        <x:v>[{'topic': 'Three-phase power level', 'value': '22 kW', 'source_type': 'project-context template', 'qualification': 'Replace with the actual platform continuous and overload ratings.'}, {'topic': 'AC voltage range', 'value': '304–480 Vrms line-to-line', 'source_type': 'provisional engineering example', 'qualification': 'Not asserted as a released PMP41186 specification.'}, {'topic': 'DC voltage range', 'value': '550–850 V', 'source_type': 'provisional engineering example', 'qualification': 'Replace with actual battery and surge limits.'}, {'topic': 'Phase-current sensing', 'value': 'Three direct Hall channels on independent ADC modules', 'source_type': 'architecture example', 'qualification': 'Confirm F29H85x package pinout, ADC mode and resource allocation.'}, {'topic': 'Phase-voltage sensing', 'value': 'Three phase-to-neutral channels', 'source_type': 'architecture example', 'qualification': 'For a three-wire system without neutral, use line-to-line sensing or a validated virtual-neutral network.'}, {'topic': 'Sampling aperture delay', 'value': '0 ns for phase currents; up to 60 ns across all configured channels', 'source_type': 'provisional timing model', 'qualification': 'Replace with measured or data-sheet-bounded aperture timing.'}, {'topic': 'Phase matching limits', 'value': '0.2% gain; 5 ADC codes zero mismatch', 'source_type': 'engineering default', 'qualification': 'Provisional; replace with the control and THD error budget.'}, {'topic': 'Component error budgets', 'value': 'Empty by default', 'source_type': 'fail-closed design rule', 'qualification': 'Enter exact maximum errors and drift before design release.'}]</x:v>
      </x:c>
      <x:c r="C135" s="22" t="str">
        <x:v>list</x:v>
      </x:c>
      <x:c r="D135" s="22" t="str">
        <x:v>user/profile input</x:v>
      </x:c>
    </x:row>
  </x:sheetData>
  <x:pageMargins left="0.7" right="0.7" top="0.75" bottom="0.75" header="0.3" footer="0.3"/>
  <x:tableParts count="1">
    <x:tablePart xmlns:r="http://schemas.openxmlformats.org/officeDocument/2006/relationships" r:id="Re06654d7144d448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12" t="str">
        <x:v>Key</x:v>
      </x:c>
      <x:c r="B1" s="12" t="str">
        <x:v>Metric</x:v>
      </x:c>
      <x:c r="C1" s="12" t="str">
        <x:v>Value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15" hidden="0" customHeight="1">
      <x:c r="A2" s="22" t="str">
        <x:v>phase_count</x:v>
      </x:c>
      <x:c r="B2" s="22" t="str">
        <x:v>AC phase count</x:v>
      </x:c>
      <x:c r="C2" s="22" t="n">
        <x:v>3</x:v>
      </x:c>
      <x:c r="D2" s="22" t="str">
        <x:v>phase</x:v>
      </x:c>
      <x:c r="E2" s="22" t="str"/>
      <x:c r="F2" s="22" t="str"/>
      <x:c r="G2" s="22" t="str">
        <x:v>configuration</x:v>
      </x:c>
      <x:c r="H2" s="22" t="str">
        <x:v>PASS</x:v>
      </x:c>
      <x:c r="I2" s="22" t="str"/>
    </x:row>
    <x:row r="3" ht="15" hidden="0" customHeight="1">
      <x:c r="A3" s="22" t="str">
        <x:v>ac_voltage_basis</x:v>
      </x:c>
      <x:c r="B3" s="22" t="str">
        <x:v>AC voltage basis</x:v>
      </x:c>
      <x:c r="C3" s="22" t="str">
        <x:v>line_to_line</x:v>
      </x:c>
      <x:c r="D3" s="22" t="str"/>
      <x:c r="E3" s="22" t="str"/>
      <x:c r="F3" s="22" t="str"/>
      <x:c r="G3" s="22" t="str">
        <x:v>configuration</x:v>
      </x:c>
      <x:c r="H3" s="22" t="str">
        <x:v>PASS</x:v>
      </x:c>
      <x:c r="I3" s="22" t="str"/>
    </x:row>
    <x:row r="4" ht="15" hidden="0" customHeight="1">
      <x:c r="A4" s="22" t="str">
        <x:v>phase_unbalance_factor</x:v>
      </x:c>
      <x:c r="B4" s="22" t="str">
        <x:v>Phase unbalance design factor</x:v>
      </x:c>
      <x:c r="C4" s="22" t="n">
        <x:v>1.05</x:v>
      </x:c>
      <x:c r="D4" s="22" t="str">
        <x:v>pu</x:v>
      </x:c>
      <x:c r="E4" s="22" t="str"/>
      <x:c r="F4" s="22" t="str"/>
      <x:c r="G4" s="22" t="str">
        <x:v>configuration</x:v>
      </x:c>
      <x:c r="H4" s="22" t="str">
        <x:v>PASS</x:v>
      </x:c>
      <x:c r="I4" s="22" t="str"/>
    </x:row>
    <x:row r="5" ht="26.399999618530273" hidden="0" customHeight="1">
      <x:c r="A5" s="22" t="str">
        <x:v>iac_rms_max_a</x:v>
      </x:c>
      <x:c r="B5" s="22" t="str">
        <x:v>Maximum per-line/per-phase AC RMS current</x:v>
      </x:c>
      <x:c r="C5" s="22" t="n">
        <x:v>46.64648989297531</x:v>
      </x:c>
      <x:c r="D5" s="22" t="str">
        <x:v>A</x:v>
      </x:c>
      <x:c r="E5" s="22" t="str">
        <x:v>Ppeak/(sqrt(3)*VLL_min*eta*PF)*Kunbalance</x:v>
      </x:c>
      <x:c r="F5" s="22" t="str">
        <x:v>peak_power=22000.0, vac_min=304.0, efficiency=0.95, pf=0.99, unbalance=1.05</x:v>
      </x:c>
      <x:c r="G5" s="22" t="str">
        <x:v>calculated</x:v>
      </x:c>
      <x:c r="H5" s="22" t="str">
        <x:v>PASS</x:v>
      </x:c>
      <x:c r="I5" s="22" t="str"/>
    </x:row>
    <x:row r="6" ht="15" hidden="0" customHeight="1">
      <x:c r="A6" s="22" t="str">
        <x:v>iac_peak_a</x:v>
      </x:c>
      <x:c r="B6" s="22" t="str">
        <x:v>Maximum per-phase AC peak current</x:v>
      </x:c>
      <x:c r="C6" s="22" t="n">
        <x:v>65.9680986437452</x:v>
      </x:c>
      <x:c r="D6" s="22" t="str">
        <x:v>A</x:v>
      </x:c>
      <x:c r="E6" s="22" t="str">
        <x:v>sqrt(2)*Iac_rms</x:v>
      </x:c>
      <x:c r="F6" s="22" t="str"/>
      <x:c r="G6" s="22" t="str">
        <x:v>calculated</x:v>
      </x:c>
      <x:c r="H6" s="22" t="str">
        <x:v>PASS</x:v>
      </x:c>
      <x:c r="I6" s="22" t="str"/>
    </x:row>
    <x:row r="7" ht="15" hidden="0" customHeight="1">
      <x:c r="A7" s="22" t="str">
        <x:v>iac_design_peak_a</x:v>
      </x:c>
      <x:c r="B7" s="22" t="str">
        <x:v>Bidirectional per-phase IAC design peak</x:v>
      </x:c>
      <x:c r="C7" s="22" t="n">
        <x:v>87.07789020974366</x:v>
      </x:c>
      <x:c r="D7" s="22" t="str">
        <x:v>A</x:v>
      </x:c>
      <x:c r="E7" s="22" t="str">
        <x:v>Iac_peak*Koverload*Kmargin</x:v>
      </x:c>
      <x:c r="F7" s="22" t="str">
        <x:v>overload=1.1, iac_margin=1.2</x:v>
      </x:c>
      <x:c r="G7" s="22" t="str">
        <x:v>calculated</x:v>
      </x:c>
      <x:c r="H7" s="22" t="str">
        <x:v>PASS</x:v>
      </x:c>
      <x:c r="I7" s="22" t="str"/>
    </x:row>
    <x:row r="8" ht="15" hidden="0" customHeight="1">
      <x:c r="A8" s="22" t="str">
        <x:v>idc_continuous_max_a</x:v>
      </x:c>
      <x:c r="B8" s="22" t="str">
        <x:v>Maximum DC continuous current</x:v>
      </x:c>
      <x:c r="C8" s="22" t="n">
        <x:v>42.10526315789474</x:v>
      </x:c>
      <x:c r="D8" s="22" t="str">
        <x:v>A</x:v>
      </x:c>
      <x:c r="E8" s="22" t="str">
        <x:v>Ppeak/(Vdc_min*eta)</x:v>
      </x:c>
      <x:c r="F8" s="22" t="str"/>
      <x:c r="G8" s="22" t="str">
        <x:v>calculated</x:v>
      </x:c>
      <x:c r="H8" s="22" t="str">
        <x:v>PASS</x:v>
      </x:c>
      <x:c r="I8" s="22" t="str"/>
    </x:row>
    <x:row r="9" ht="15" hidden="0" customHeight="1">
      <x:c r="A9" s="22" t="str">
        <x:v>idc_design_peak_a</x:v>
      </x:c>
      <x:c r="B9" s="22" t="str">
        <x:v>Bidirectional IDC design peak</x:v>
      </x:c>
      <x:c r="C9" s="22" t="n">
        <x:v>55.57894736842106</x:v>
      </x:c>
      <x:c r="D9" s="22" t="str">
        <x:v>A</x:v>
      </x:c>
      <x:c r="E9" s="22" t="str">
        <x:v>Idc_cont*Koverload*Kmargin</x:v>
      </x:c>
      <x:c r="F9" s="22" t="str">
        <x:v>overload=1.1, idc_margin=1.2</x:v>
      </x:c>
      <x:c r="G9" s="22" t="str">
        <x:v>calculated</x:v>
      </x:c>
      <x:c r="H9" s="22" t="str">
        <x:v>PASS</x:v>
      </x:c>
      <x:c r="I9" s="22" t="str"/>
    </x:row>
    <x:row r="10" ht="26.399999618530273" hidden="0" customHeight="1">
      <x:c r="A10" s="22" t="str">
        <x:v>three_phase_apparent_power_va</x:v>
      </x:c>
      <x:c r="B10" s="22" t="str">
        <x:v>Three-phase apparent power at minimum input</x:v>
      </x:c>
      <x:c r="C10" s="22" t="n">
        <x:v>24561.40350877193</x:v>
      </x:c>
      <x:c r="D10" s="22" t="str">
        <x:v>VA</x:v>
      </x:c>
      <x:c r="E10" s="22" t="str">
        <x:v>sqrt(3)*VLL*Iline or 3*Vphase*Iphase</x:v>
      </x:c>
      <x:c r="F10" s="22" t="str"/>
      <x:c r="G10" s="22" t="str">
        <x:v>calculated</x:v>
      </x:c>
      <x:c r="H10" s="22" t="str">
        <x:v>PASS</x:v>
      </x:c>
      <x:c r="I10" s="22" t="str"/>
    </x:row>
  </x:sheetData>
  <x:conditionalFormatting sqref="H2:H10">
    <x:cfRule type="expression" dxfId="4" priority="1">
      <x:formula>H2="PASS"</x:formula>
    </x:cfRule>
    <x:cfRule type="expression" dxfId="5" priority="2">
      <x:formula>H2="WARNING"</x:formula>
    </x:cfRule>
    <x:cfRule type="expression" dxfId="6" priority="3">
      <x:formula>H2="FAIL"</x:formula>
    </x:cfRule>
    <x:cfRule type="expression" dxfId="7" priority="4">
      <x:formula>H2="NOT_EVALUATED"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d06825b25ad4af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12" t="str">
        <x:v>Key</x:v>
      </x:c>
      <x:c r="B1" s="12" t="str">
        <x:v>Metric</x:v>
      </x:c>
      <x:c r="C1" s="12" t="str">
        <x:v>Value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15" hidden="0" customHeight="1">
      <x:c r="A2" s="22" t="str">
        <x:v>current_phase_channels</x:v>
      </x:c>
      <x:c r="B2" s="22" t="str">
        <x:v>Configured phase-current channels</x:v>
      </x:c>
      <x:c r="C2" s="22" t="str">
        <x:v>A, B, C</x:v>
      </x:c>
      <x:c r="D2" s="22" t="str"/>
      <x:c r="E2" s="22" t="str"/>
      <x:c r="F2" s="22" t="str"/>
      <x:c r="G2" s="22" t="str">
        <x:v>configuration</x:v>
      </x:c>
      <x:c r="H2" s="22" t="str">
        <x:v>PASS</x:v>
      </x:c>
      <x:c r="I2" s="22" t="str"/>
    </x:row>
    <x:row r="3" ht="15" hidden="0" customHeight="1">
      <x:c r="A3" s="22" t="str">
        <x:v>voltage_phase_channels</x:v>
      </x:c>
      <x:c r="B3" s="22" t="str">
        <x:v>Configured phase-voltage channels</x:v>
      </x:c>
      <x:c r="C3" s="22" t="str">
        <x:v>A, B, C</x:v>
      </x:c>
      <x:c r="D3" s="22" t="str"/>
      <x:c r="E3" s="22" t="str"/>
      <x:c r="F3" s="22" t="str"/>
      <x:c r="G3" s="22" t="str">
        <x:v>configuration</x:v>
      </x:c>
      <x:c r="H3" s="22" t="str">
        <x:v>PASS</x:v>
      </x:c>
      <x:c r="I3" s="22" t="str"/>
    </x:row>
    <x:row r="4" ht="15" hidden="0" customHeight="1">
      <x:c r="A4" s="22" t="str">
        <x:v>voltage_measurement_basis</x:v>
      </x:c>
      <x:c r="B4" s="22" t="str">
        <x:v>Phase-voltage measurement basis</x:v>
      </x:c>
      <x:c r="C4" s="22" t="str">
        <x:v>phase_to_neutral</x:v>
      </x:c>
      <x:c r="D4" s="22" t="str"/>
      <x:c r="E4" s="22" t="str"/>
      <x:c r="F4" s="22" t="str"/>
      <x:c r="G4" s="22" t="str">
        <x:v>configuration</x:v>
      </x:c>
      <x:c r="H4" s="22" t="str">
        <x:v>PASS</x:v>
      </x:c>
      <x:c r="I4" s="22" t="str"/>
    </x:row>
    <x:row r="5" ht="15" hidden="0" customHeight="1">
      <x:c r="A5" s="22" t="str">
        <x:v>current_reconstruction</x:v>
      </x:c>
      <x:c r="B5" s="22" t="str">
        <x:v>Current reconstruction mode</x:v>
      </x:c>
      <x:c r="C5" s="22" t="str">
        <x:v>none</x:v>
      </x:c>
      <x:c r="D5" s="22" t="str"/>
      <x:c r="E5" s="22" t="str"/>
      <x:c r="F5" s="22" t="str"/>
      <x:c r="G5" s="22" t="str">
        <x:v>configuration</x:v>
      </x:c>
      <x:c r="H5" s="22" t="str">
        <x:v>PASS</x:v>
      </x:c>
      <x:c r="I5" s="22" t="str"/>
    </x:row>
    <x:row r="6" ht="15" hidden="0" customHeight="1">
      <x:c r="A6" s="22" t="str">
        <x:v>physical_current_sensor_count</x:v>
      </x:c>
      <x:c r="B6" s="22" t="str">
        <x:v>Physical current-sensor count</x:v>
      </x:c>
      <x:c r="C6" s="22" t="n">
        <x:v>3</x:v>
      </x:c>
      <x:c r="D6" s="22" t="str">
        <x:v>channel</x:v>
      </x:c>
      <x:c r="E6" s="22" t="str"/>
      <x:c r="F6" s="22" t="str"/>
      <x:c r="G6" s="22" t="str">
        <x:v>calculated</x:v>
      </x:c>
      <x:c r="H6" s="22" t="str">
        <x:v>PASS</x:v>
      </x:c>
      <x:c r="I6" s="22" t="str"/>
    </x:row>
    <x:row r="7" ht="15" hidden="0" customHeight="1">
      <x:c r="A7" s="22" t="str">
        <x:v>physical_voltage_sensor_count</x:v>
      </x:c>
      <x:c r="B7" s="22" t="str">
        <x:v>Physical voltage-sensor count</x:v>
      </x:c>
      <x:c r="C7" s="22" t="n">
        <x:v>3</x:v>
      </x:c>
      <x:c r="D7" s="22" t="str">
        <x:v>channel</x:v>
      </x:c>
      <x:c r="E7" s="22" t="str"/>
      <x:c r="F7" s="22" t="str"/>
      <x:c r="G7" s="22" t="str">
        <x:v>calculated</x:v>
      </x:c>
      <x:c r="H7" s="22" t="str">
        <x:v>PASS</x:v>
      </x:c>
      <x:c r="I7" s="22" t="str"/>
    </x:row>
  </x:sheetData>
  <x:conditionalFormatting sqref="H2:H7">
    <x:cfRule type="expression" dxfId="8" priority="1">
      <x:formula>H2="PASS"</x:formula>
    </x:cfRule>
    <x:cfRule type="expression" dxfId="9" priority="2">
      <x:formula>H2="WARNING"</x:formula>
    </x:cfRule>
    <x:cfRule type="expression" dxfId="10" priority="3">
      <x:formula>H2="FAIL"</x:formula>
    </x:cfRule>
    <x:cfRule type="expression" dxfId="11" priority="4">
      <x:formula>H2="NOT_EVALUATED"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0f353b70c0e421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12" t="str">
        <x:v>Key</x:v>
      </x:c>
      <x:c r="B1" s="12" t="str">
        <x:v>Metric</x:v>
      </x:c>
      <x:c r="C1" s="12" t="str">
        <x:v>Value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15" hidden="0" customHeight="1">
      <x:c r="A2" s="22" t="str">
        <x:v>design_current_a</x:v>
      </x:c>
      <x:c r="B2" s="22" t="str">
        <x:v>Required bidirectional peak current</x:v>
      </x:c>
      <x:c r="C2" s="22" t="n">
        <x:v>87.07789020974366</x:v>
      </x:c>
      <x:c r="D2" s="22" t="str">
        <x:v>A</x:v>
      </x:c>
      <x:c r="E2" s="22" t="str"/>
      <x:c r="F2" s="22" t="str"/>
      <x:c r="G2" s="22" t="str">
        <x:v>calculated</x:v>
      </x:c>
      <x:c r="H2" s="22" t="str">
        <x:v>PASS</x:v>
      </x:c>
      <x:c r="I2" s="22" t="str"/>
    </x:row>
    <x:row r="3" ht="15" hidden="0" customHeight="1">
      <x:c r="A3" s="22" t="str">
        <x:v>effective_sensitivity_v_per_a</x:v>
      </x:c>
      <x:c r="B3" s="22" t="str">
        <x:v>Effective ADC sensitivity</x:v>
      </x:c>
      <x:c r="C3" s="22" t="n">
        <x:v>0.0125</x:v>
      </x:c>
      <x:c r="D3" s="22" t="str">
        <x:v>V/A</x:v>
      </x:c>
      <x:c r="E3" s="22" t="str">
        <x:v>Sensor sensitivity*front-end gain</x:v>
      </x:c>
      <x:c r="F3" s="22" t="str"/>
      <x:c r="G3" s="22" t="str">
        <x:v>calculated</x:v>
      </x:c>
      <x:c r="H3" s="22" t="str">
        <x:v>PASS</x:v>
      </x:c>
      <x:c r="I3" s="22" t="str"/>
    </x:row>
    <x:row r="4" ht="15" hidden="0" customHeight="1">
      <x:c r="A4" s="22" t="str">
        <x:v>maximum_sensitivity_v_per_a</x:v>
      </x:c>
      <x:c r="B4" s="22" t="str">
        <x:v>Maximum permissible ADC sensitivity</x:v>
      </x:c>
      <x:c r="C4" s="22" t="n">
        <x:v>0.013206567100213455</x:v>
      </x:c>
      <x:c r="D4" s="22" t="str">
        <x:v>V/A</x:v>
      </x:c>
      <x:c r="E4" s="22" t="str">
        <x:v>min((Vzero-Vmin)/Imax,(Vmax-Vzero)/Imax)</x:v>
      </x:c>
      <x:c r="F4" s="22" t="str"/>
      <x:c r="G4" s="22" t="str">
        <x:v>calculated</x:v>
      </x:c>
      <x:c r="H4" s="22" t="str">
        <x:v>PASS</x:v>
      </x:c>
      <x:c r="I4" s="22" t="str"/>
    </x:row>
    <x:row r="5" ht="15" hidden="0" customHeight="1">
      <x:c r="A5" s="22" t="str">
        <x:v>maximum_front_end_gain</x:v>
      </x:c>
      <x:c r="B5" s="22" t="str">
        <x:v>Maximum permissible front-end gain</x:v>
      </x:c>
      <x:c r="C5" s="22" t="n">
        <x:v>1.0565253680170763</x:v>
      </x:c>
      <x:c r="D5" s="22" t="str">
        <x:v>V/V</x:v>
      </x:c>
      <x:c r="E5" s="22" t="str">
        <x:v>Seff_max/Ssensor</x:v>
      </x:c>
      <x:c r="F5" s="22" t="str"/>
      <x:c r="G5" s="22" t="str">
        <x:v>calculated</x:v>
      </x:c>
      <x:c r="H5" s="22" t="str">
        <x:v>PASS</x:v>
      </x:c>
      <x:c r="I5" s="22" t="str"/>
    </x:row>
    <x:row r="6" ht="15" hidden="0" customHeight="1">
      <x:c r="A6" s="22" t="str">
        <x:v>zero_adc_v</x:v>
      </x:c>
      <x:c r="B6" s="22" t="str">
        <x:v>ADC zero-current voltage</x:v>
      </x:c>
      <x:c r="C6" s="22" t="n">
        <x:v>1.65</x:v>
      </x:c>
      <x:c r="D6" s="22" t="str">
        <x:v>V</x:v>
      </x:c>
      <x:c r="E6" s="22" t="str"/>
      <x:c r="F6" s="22" t="str"/>
      <x:c r="G6" s="22" t="str">
        <x:v>calculated</x:v>
      </x:c>
      <x:c r="H6" s="22" t="str">
        <x:v>PASS</x:v>
      </x:c>
      <x:c r="I6" s="22" t="str"/>
    </x:row>
    <x:row r="7" ht="15" hidden="0" customHeight="1">
      <x:c r="A7" s="22" t="str">
        <x:v>zero_adc_code</x:v>
      </x:c>
      <x:c r="B7" s="22" t="str">
        <x:v>ADC zero-current code</x:v>
      </x:c>
      <x:c r="C7" s="22" t="n">
        <x:v>2252.7999999999997</x:v>
      </x:c>
      <x:c r="D7" s="22" t="str">
        <x:v>code</x:v>
      </x:c>
      <x:c r="E7" s="22" t="str"/>
      <x:c r="F7" s="22" t="str"/>
      <x:c r="G7" s="22" t="str">
        <x:v>calculated</x:v>
      </x:c>
      <x:c r="H7" s="22" t="str">
        <x:v>PASS</x:v>
      </x:c>
      <x:c r="I7" s="22" t="str"/>
    </x:row>
    <x:row r="8" ht="15" hidden="0" customHeight="1">
      <x:c r="A8" s="22" t="str">
        <x:v>adc_min_v</x:v>
      </x:c>
      <x:c r="B8" s="22" t="str">
        <x:v>ADC voltage at negative design current</x:v>
      </x:c>
      <x:c r="C8" s="22" t="n">
        <x:v>0.5615263723782042</x:v>
      </x:c>
      <x:c r="D8" s="22" t="str">
        <x:v>V</x:v>
      </x:c>
      <x:c r="E8" s="22" t="str"/>
      <x:c r="F8" s="22" t="str"/>
      <x:c r="G8" s="22" t="str">
        <x:v>calculated</x:v>
      </x:c>
      <x:c r="H8" s="22" t="str">
        <x:v>PASS</x:v>
      </x:c>
      <x:c r="I8" s="22" t="str"/>
    </x:row>
    <x:row r="9" ht="15" hidden="0" customHeight="1">
      <x:c r="A9" s="22" t="str">
        <x:v>adc_max_v</x:v>
      </x:c>
      <x:c r="B9" s="22" t="str">
        <x:v>ADC voltage at positive design current</x:v>
      </x:c>
      <x:c r="C9" s="22" t="n">
        <x:v>2.7384736276217954</x:v>
      </x:c>
      <x:c r="D9" s="22" t="str">
        <x:v>V</x:v>
      </x:c>
      <x:c r="E9" s="22" t="str"/>
      <x:c r="F9" s="22" t="str"/>
      <x:c r="G9" s="22" t="str">
        <x:v>calculated</x:v>
      </x:c>
      <x:c r="H9" s="22" t="str">
        <x:v>PASS</x:v>
      </x:c>
      <x:c r="I9" s="22" t="str"/>
    </x:row>
    <x:row r="10" ht="15" hidden="0" customHeight="1">
      <x:c r="A10" s="22" t="str">
        <x:v>adc_min_code</x:v>
      </x:c>
      <x:c r="B10" s="22" t="str">
        <x:v>ADC code at negative design current</x:v>
      </x:c>
      <x:c r="C10" s="22" t="n">
        <x:v>766.6706737537082</x:v>
      </x:c>
      <x:c r="D10" s="22" t="str">
        <x:v>code</x:v>
      </x:c>
      <x:c r="E10" s="22" t="str"/>
      <x:c r="F10" s="22" t="str"/>
      <x:c r="G10" s="22" t="str">
        <x:v>calculated</x:v>
      </x:c>
      <x:c r="H10" s="22" t="str">
        <x:v>PASS</x:v>
      </x:c>
      <x:c r="I10" s="22" t="str"/>
    </x:row>
    <x:row r="11" ht="15" hidden="0" customHeight="1">
      <x:c r="A11" s="22" t="str">
        <x:v>adc_max_code</x:v>
      </x:c>
      <x:c r="B11" s="22" t="str">
        <x:v>ADC code at positive design current</x:v>
      </x:c>
      <x:c r="C11" s="22" t="n">
        <x:v>3738.929326246291</x:v>
      </x:c>
      <x:c r="D11" s="22" t="str">
        <x:v>code</x:v>
      </x:c>
      <x:c r="E11" s="22" t="str"/>
      <x:c r="F11" s="22" t="str"/>
      <x:c r="G11" s="22" t="str">
        <x:v>calculated</x:v>
      </x:c>
      <x:c r="H11" s="22" t="str">
        <x:v>PASS</x:v>
      </x:c>
      <x:c r="I11" s="22" t="str"/>
    </x:row>
    <x:row r="12" ht="15" hidden="0" customHeight="1">
      <x:c r="A12" s="22" t="str">
        <x:v>current_per_code_a</x:v>
      </x:c>
      <x:c r="B12" s="22" t="str">
        <x:v>Current resolution</x:v>
      </x:c>
      <x:c r="C12" s="22" t="n">
        <x:v>0.05859375</x:v>
      </x:c>
      <x:c r="D12" s="22" t="str">
        <x:v>A/code</x:v>
      </x:c>
      <x:c r="E12" s="22" t="str">
        <x:v>Vlsb/Seff</x:v>
      </x:c>
      <x:c r="F12" s="22" t="str"/>
      <x:c r="G12" s="22" t="str">
        <x:v>calculated</x:v>
      </x:c>
      <x:c r="H12" s="22" t="str">
        <x:v>PASS</x:v>
      </x:c>
      <x:c r="I12" s="22" t="str"/>
    </x:row>
    <x:row r="13" ht="15" hidden="0" customHeight="1">
      <x:c r="A13" s="22" t="str">
        <x:v>adc_utilization</x:v>
      </x:c>
      <x:c r="B13" s="22" t="str">
        <x:v>ADC span utilization</x:v>
      </x:c>
      <x:c r="C13" s="22" t="n">
        <x:v>0.725649085081197</x:v>
      </x:c>
      <x:c r="D13" s="22" t="str">
        <x:v>pu</x:v>
      </x:c>
      <x:c r="E13" s="22" t="str">
        <x:v>(Vmax-Vmin)/Vref</x:v>
      </x:c>
      <x:c r="F13" s="22" t="str"/>
      <x:c r="G13" s="22" t="str">
        <x:v>calculated</x:v>
      </x:c>
      <x:c r="H13" s="22" t="str">
        <x:v>PASS</x:v>
      </x:c>
      <x:c r="I13" s="22" t="str"/>
    </x:row>
  </x:sheetData>
  <x:conditionalFormatting sqref="H2:H13">
    <x:cfRule type="expression" dxfId="12" priority="1">
      <x:formula>H2="PASS"</x:formula>
    </x:cfRule>
    <x:cfRule type="expression" dxfId="13" priority="2">
      <x:formula>H2="WARNING"</x:formula>
    </x:cfRule>
    <x:cfRule type="expression" dxfId="14" priority="3">
      <x:formula>H2="FAIL"</x:formula>
    </x:cfRule>
    <x:cfRule type="expression" dxfId="15" priority="4">
      <x:formula>H2="NOT_EVALUATED"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00f42813d424fd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12" t="str">
        <x:v>Key</x:v>
      </x:c>
      <x:c r="B1" s="12" t="str">
        <x:v>Metric</x:v>
      </x:c>
      <x:c r="C1" s="12" t="str">
        <x:v>Value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15" hidden="0" customHeight="1">
      <x:c r="A2" s="22" t="str">
        <x:v>design_current_a</x:v>
      </x:c>
      <x:c r="B2" s="22" t="str">
        <x:v>Required bidirectional peak current</x:v>
      </x:c>
      <x:c r="C2" s="22" t="n">
        <x:v>87.07789020974366</x:v>
      </x:c>
      <x:c r="D2" s="22" t="str">
        <x:v>A</x:v>
      </x:c>
      <x:c r="E2" s="22" t="str"/>
      <x:c r="F2" s="22" t="str"/>
      <x:c r="G2" s="22" t="str">
        <x:v>calculated</x:v>
      </x:c>
      <x:c r="H2" s="22" t="str">
        <x:v>PASS</x:v>
      </x:c>
      <x:c r="I2" s="22" t="str"/>
    </x:row>
    <x:row r="3" ht="15" hidden="0" customHeight="1">
      <x:c r="A3" s="22" t="str">
        <x:v>effective_sensitivity_v_per_a</x:v>
      </x:c>
      <x:c r="B3" s="22" t="str">
        <x:v>Effective ADC sensitivity</x:v>
      </x:c>
      <x:c r="C3" s="22" t="n">
        <x:v>0.012493750000000001</x:v>
      </x:c>
      <x:c r="D3" s="22" t="str">
        <x:v>V/A</x:v>
      </x:c>
      <x:c r="E3" s="22" t="str">
        <x:v>Sensor sensitivity*front-end gain</x:v>
      </x:c>
      <x:c r="F3" s="22" t="str"/>
      <x:c r="G3" s="22" t="str">
        <x:v>calculated</x:v>
      </x:c>
      <x:c r="H3" s="22" t="str">
        <x:v>PASS</x:v>
      </x:c>
      <x:c r="I3" s="22" t="str"/>
    </x:row>
    <x:row r="4" ht="15" hidden="0" customHeight="1">
      <x:c r="A4" s="22" t="str">
        <x:v>maximum_sensitivity_v_per_a</x:v>
      </x:c>
      <x:c r="B4" s="22" t="str">
        <x:v>Maximum permissible ADC sensitivity</x:v>
      </x:c>
      <x:c r="C4" s="22" t="n">
        <x:v>0.013216041376611433</x:v>
      </x:c>
      <x:c r="D4" s="22" t="str">
        <x:v>V/A</x:v>
      </x:c>
      <x:c r="E4" s="22" t="str">
        <x:v>min((Vzero-Vmin)/Imax,(Vmax-Vzero)/Imax)</x:v>
      </x:c>
      <x:c r="F4" s="22" t="str"/>
      <x:c r="G4" s="22" t="str">
        <x:v>calculated</x:v>
      </x:c>
      <x:c r="H4" s="22" t="str">
        <x:v>PASS</x:v>
      </x:c>
      <x:c r="I4" s="22" t="str"/>
    </x:row>
    <x:row r="5" ht="15" hidden="0" customHeight="1">
      <x:c r="A5" s="22" t="str">
        <x:v>maximum_front_end_gain</x:v>
      </x:c>
      <x:c r="B5" s="22" t="str">
        <x:v>Maximum permissible front-end gain</x:v>
      </x:c>
      <x:c r="C5" s="22" t="n">
        <x:v>1.0572833101289145</x:v>
      </x:c>
      <x:c r="D5" s="22" t="str">
        <x:v>V/V</x:v>
      </x:c>
      <x:c r="E5" s="22" t="str">
        <x:v>Seff_max/Ssensor</x:v>
      </x:c>
      <x:c r="F5" s="22" t="str"/>
      <x:c r="G5" s="22" t="str">
        <x:v>calculated</x:v>
      </x:c>
      <x:c r="H5" s="22" t="str">
        <x:v>PASS</x:v>
      </x:c>
      <x:c r="I5" s="22" t="str"/>
    </x:row>
    <x:row r="6" ht="15" hidden="0" customHeight="1">
      <x:c r="A6" s="22" t="str">
        <x:v>zero_adc_v</x:v>
      </x:c>
      <x:c r="B6" s="22" t="str">
        <x:v>ADC zero-current voltage</x:v>
      </x:c>
      <x:c r="C6" s="22" t="n">
        <x:v>1.649175</x:v>
      </x:c>
      <x:c r="D6" s="22" t="str">
        <x:v>V</x:v>
      </x:c>
      <x:c r="E6" s="22" t="str"/>
      <x:c r="F6" s="22" t="str"/>
      <x:c r="G6" s="22" t="str">
        <x:v>calculated</x:v>
      </x:c>
      <x:c r="H6" s="22" t="str">
        <x:v>PASS</x:v>
      </x:c>
      <x:c r="I6" s="22" t="str"/>
    </x:row>
    <x:row r="7" ht="15" hidden="0" customHeight="1">
      <x:c r="A7" s="22" t="str">
        <x:v>zero_adc_code</x:v>
      </x:c>
      <x:c r="B7" s="22" t="str">
        <x:v>ADC zero-current code</x:v>
      </x:c>
      <x:c r="C7" s="22" t="n">
        <x:v>2251.6736</x:v>
      </x:c>
      <x:c r="D7" s="22" t="str">
        <x:v>code</x:v>
      </x:c>
      <x:c r="E7" s="22" t="str"/>
      <x:c r="F7" s="22" t="str"/>
      <x:c r="G7" s="22" t="str">
        <x:v>calculated</x:v>
      </x:c>
      <x:c r="H7" s="22" t="str">
        <x:v>PASS</x:v>
      </x:c>
      <x:c r="I7" s="22" t="str"/>
    </x:row>
    <x:row r="8" ht="15" hidden="0" customHeight="1">
      <x:c r="A8" s="22" t="str">
        <x:v>adc_min_v</x:v>
      </x:c>
      <x:c r="B8" s="22" t="str">
        <x:v>ADC voltage at negative design current</x:v>
      </x:c>
      <x:c r="C8" s="22" t="n">
        <x:v>0.561245609192015</x:v>
      </x:c>
      <x:c r="D8" s="22" t="str">
        <x:v>V</x:v>
      </x:c>
      <x:c r="E8" s="22" t="str"/>
      <x:c r="F8" s="22" t="str"/>
      <x:c r="G8" s="22" t="str">
        <x:v>calculated</x:v>
      </x:c>
      <x:c r="H8" s="22" t="str">
        <x:v>PASS</x:v>
      </x:c>
      <x:c r="I8" s="22" t="str"/>
    </x:row>
    <x:row r="9" ht="15" hidden="0" customHeight="1">
      <x:c r="A9" s="22" t="str">
        <x:v>adc_max_v</x:v>
      </x:c>
      <x:c r="B9" s="22" t="str">
        <x:v>ADC voltage at positive design current</x:v>
      </x:c>
      <x:c r="C9" s="22" t="n">
        <x:v>2.737104390807985</x:v>
      </x:c>
      <x:c r="D9" s="22" t="str">
        <x:v>V</x:v>
      </x:c>
      <x:c r="E9" s="22" t="str"/>
      <x:c r="F9" s="22" t="str"/>
      <x:c r="G9" s="22" t="str">
        <x:v>calculated</x:v>
      </x:c>
      <x:c r="H9" s="22" t="str">
        <x:v>PASS</x:v>
      </x:c>
      <x:c r="I9" s="22" t="str"/>
    </x:row>
    <x:row r="10" ht="15" hidden="0" customHeight="1">
      <x:c r="A10" s="22" t="str">
        <x:v>adc_min_code</x:v>
      </x:c>
      <x:c r="B10" s="22" t="str">
        <x:v>ADC code at negative design current</x:v>
      </x:c>
      <x:c r="C10" s="22" t="n">
        <x:v>766.2873384168312</x:v>
      </x:c>
      <x:c r="D10" s="22" t="str">
        <x:v>code</x:v>
      </x:c>
      <x:c r="E10" s="22" t="str"/>
      <x:c r="F10" s="22" t="str"/>
      <x:c r="G10" s="22" t="str">
        <x:v>calculated</x:v>
      </x:c>
      <x:c r="H10" s="22" t="str">
        <x:v>PASS</x:v>
      </x:c>
      <x:c r="I10" s="22" t="str"/>
    </x:row>
    <x:row r="11" ht="15" hidden="0" customHeight="1">
      <x:c r="A11" s="22" t="str">
        <x:v>adc_max_code</x:v>
      </x:c>
      <x:c r="B11" s="22" t="str">
        <x:v>ADC code at positive design current</x:v>
      </x:c>
      <x:c r="C11" s="22" t="n">
        <x:v>3737.059861583169</x:v>
      </x:c>
      <x:c r="D11" s="22" t="str">
        <x:v>code</x:v>
      </x:c>
      <x:c r="E11" s="22" t="str"/>
      <x:c r="F11" s="22" t="str"/>
      <x:c r="G11" s="22" t="str">
        <x:v>calculated</x:v>
      </x:c>
      <x:c r="H11" s="22" t="str">
        <x:v>PASS</x:v>
      </x:c>
      <x:c r="I11" s="22" t="str"/>
    </x:row>
    <x:row r="12" ht="15" hidden="0" customHeight="1">
      <x:c r="A12" s="22" t="str">
        <x:v>current_per_code_a</x:v>
      </x:c>
      <x:c r="B12" s="22" t="str">
        <x:v>Current resolution</x:v>
      </x:c>
      <x:c r="C12" s="22" t="n">
        <x:v>0.05862306153076537</x:v>
      </x:c>
      <x:c r="D12" s="22" t="str">
        <x:v>A/code</x:v>
      </x:c>
      <x:c r="E12" s="22" t="str">
        <x:v>Vlsb/Seff</x:v>
      </x:c>
      <x:c r="F12" s="22" t="str"/>
      <x:c r="G12" s="22" t="str">
        <x:v>calculated</x:v>
      </x:c>
      <x:c r="H12" s="22" t="str">
        <x:v>PASS</x:v>
      </x:c>
      <x:c r="I12" s="22" t="str"/>
    </x:row>
    <x:row r="13" ht="15" hidden="0" customHeight="1">
      <x:c r="A13" s="22" t="str">
        <x:v>adc_utilization</x:v>
      </x:c>
      <x:c r="B13" s="22" t="str">
        <x:v>ADC span utilization</x:v>
      </x:c>
      <x:c r="C13" s="22" t="n">
        <x:v>0.7252862605386566</x:v>
      </x:c>
      <x:c r="D13" s="22" t="str">
        <x:v>pu</x:v>
      </x:c>
      <x:c r="E13" s="22" t="str">
        <x:v>(Vmax-Vmin)/Vref</x:v>
      </x:c>
      <x:c r="F13" s="22" t="str"/>
      <x:c r="G13" s="22" t="str">
        <x:v>calculated</x:v>
      </x:c>
      <x:c r="H13" s="22" t="str">
        <x:v>PASS</x:v>
      </x:c>
      <x:c r="I13" s="22" t="str"/>
    </x:row>
  </x:sheetData>
  <x:conditionalFormatting sqref="H2:H13">
    <x:cfRule type="expression" dxfId="16" priority="1">
      <x:formula>H2="PASS"</x:formula>
    </x:cfRule>
    <x:cfRule type="expression" dxfId="17" priority="2">
      <x:formula>H2="WARNING"</x:formula>
    </x:cfRule>
    <x:cfRule type="expression" dxfId="18" priority="3">
      <x:formula>H2="FAIL"</x:formula>
    </x:cfRule>
    <x:cfRule type="expression" dxfId="19" priority="4">
      <x:formula>H2="NOT_EVALUATED"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ba2969019e944b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12" t="str">
        <x:v>Key</x:v>
      </x:c>
      <x:c r="B1" s="12" t="str">
        <x:v>Metric</x:v>
      </x:c>
      <x:c r="C1" s="12" t="str">
        <x:v>Value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15" hidden="0" customHeight="1">
      <x:c r="A2" s="22" t="str">
        <x:v>design_current_a</x:v>
      </x:c>
      <x:c r="B2" s="22" t="str">
        <x:v>Required bidirectional peak current</x:v>
      </x:c>
      <x:c r="C2" s="22" t="n">
        <x:v>87.07789020974366</x:v>
      </x:c>
      <x:c r="D2" s="22" t="str">
        <x:v>A</x:v>
      </x:c>
      <x:c r="E2" s="22" t="str"/>
      <x:c r="F2" s="22" t="str"/>
      <x:c r="G2" s="22" t="str">
        <x:v>calculated</x:v>
      </x:c>
      <x:c r="H2" s="22" t="str">
        <x:v>PASS</x:v>
      </x:c>
      <x:c r="I2" s="22" t="str"/>
    </x:row>
    <x:row r="3" ht="15" hidden="0" customHeight="1">
      <x:c r="A3" s="22" t="str">
        <x:v>effective_sensitivity_v_per_a</x:v>
      </x:c>
      <x:c r="B3" s="22" t="str">
        <x:v>Effective ADC sensitivity</x:v>
      </x:c>
      <x:c r="C3" s="22" t="n">
        <x:v>0.012505</x:v>
      </x:c>
      <x:c r="D3" s="22" t="str">
        <x:v>V/A</x:v>
      </x:c>
      <x:c r="E3" s="22" t="str">
        <x:v>Sensor sensitivity*front-end gain</x:v>
      </x:c>
      <x:c r="F3" s="22" t="str"/>
      <x:c r="G3" s="22" t="str">
        <x:v>calculated</x:v>
      </x:c>
      <x:c r="H3" s="22" t="str">
        <x:v>PASS</x:v>
      </x:c>
      <x:c r="I3" s="22" t="str"/>
    </x:row>
    <x:row r="4" ht="15" hidden="0" customHeight="1">
      <x:c r="A4" s="22" t="str">
        <x:v>maximum_sensitivity_v_per_a</x:v>
      </x:c>
      <x:c r="B4" s="22" t="str">
        <x:v>Maximum permissible ADC sensitivity</x:v>
      </x:c>
      <x:c r="C4" s="22" t="n">
        <x:v>0.013198987679095072</x:v>
      </x:c>
      <x:c r="D4" s="22" t="str">
        <x:v>V/A</x:v>
      </x:c>
      <x:c r="E4" s="22" t="str">
        <x:v>min((Vzero-Vmin)/Imax,(Vmax-Vzero)/Imax)</x:v>
      </x:c>
      <x:c r="F4" s="22" t="str"/>
      <x:c r="G4" s="22" t="str">
        <x:v>calculated</x:v>
      </x:c>
      <x:c r="H4" s="22" t="str">
        <x:v>PASS</x:v>
      </x:c>
      <x:c r="I4" s="22" t="str"/>
    </x:row>
    <x:row r="5" ht="15" hidden="0" customHeight="1">
      <x:c r="A5" s="22" t="str">
        <x:v>maximum_front_end_gain</x:v>
      </x:c>
      <x:c r="B5" s="22" t="str">
        <x:v>Maximum permissible front-end gain</x:v>
      </x:c>
      <x:c r="C5" s="22" t="n">
        <x:v>1.0559190143276058</x:v>
      </x:c>
      <x:c r="D5" s="22" t="str">
        <x:v>V/V</x:v>
      </x:c>
      <x:c r="E5" s="22" t="str">
        <x:v>Seff_max/Ssensor</x:v>
      </x:c>
      <x:c r="F5" s="22" t="str"/>
      <x:c r="G5" s="22" t="str">
        <x:v>calculated</x:v>
      </x:c>
      <x:c r="H5" s="22" t="str">
        <x:v>PASS</x:v>
      </x:c>
      <x:c r="I5" s="22" t="str"/>
    </x:row>
    <x:row r="6" ht="15" hidden="0" customHeight="1">
      <x:c r="A6" s="22" t="str">
        <x:v>zero_adc_v</x:v>
      </x:c>
      <x:c r="B6" s="22" t="str">
        <x:v>ADC zero-current voltage</x:v>
      </x:c>
      <x:c r="C6" s="22" t="n">
        <x:v>1.6506599999999998</x:v>
      </x:c>
      <x:c r="D6" s="22" t="str">
        <x:v>V</x:v>
      </x:c>
      <x:c r="E6" s="22" t="str"/>
      <x:c r="F6" s="22" t="str"/>
      <x:c r="G6" s="22" t="str">
        <x:v>calculated</x:v>
      </x:c>
      <x:c r="H6" s="22" t="str">
        <x:v>PASS</x:v>
      </x:c>
      <x:c r="I6" s="22" t="str"/>
    </x:row>
    <x:row r="7" ht="15" hidden="0" customHeight="1">
      <x:c r="A7" s="22" t="str">
        <x:v>zero_adc_code</x:v>
      </x:c>
      <x:c r="B7" s="22" t="str">
        <x:v>ADC zero-current code</x:v>
      </x:c>
      <x:c r="C7" s="22" t="n">
        <x:v>2253.7011199999997</x:v>
      </x:c>
      <x:c r="D7" s="22" t="str">
        <x:v>code</x:v>
      </x:c>
      <x:c r="E7" s="22" t="str"/>
      <x:c r="F7" s="22" t="str"/>
      <x:c r="G7" s="22" t="str">
        <x:v>calculated</x:v>
      </x:c>
      <x:c r="H7" s="22" t="str">
        <x:v>PASS</x:v>
      </x:c>
      <x:c r="I7" s="22" t="str"/>
    </x:row>
    <x:row r="8" ht="15" hidden="0" customHeight="1">
      <x:c r="A8" s="22" t="str">
        <x:v>adc_min_v</x:v>
      </x:c>
      <x:c r="B8" s="22" t="str">
        <x:v>ADC voltage at negative design current</x:v>
      </x:c>
      <x:c r="C8" s="22" t="n">
        <x:v>0.5617509829271554</x:v>
      </x:c>
      <x:c r="D8" s="22" t="str">
        <x:v>V</x:v>
      </x:c>
      <x:c r="E8" s="22" t="str"/>
      <x:c r="F8" s="22" t="str"/>
      <x:c r="G8" s="22" t="str">
        <x:v>calculated</x:v>
      </x:c>
      <x:c r="H8" s="22" t="str">
        <x:v>PASS</x:v>
      </x:c>
      <x:c r="I8" s="22" t="str"/>
    </x:row>
    <x:row r="9" ht="15" hidden="0" customHeight="1">
      <x:c r="A9" s="22" t="str">
        <x:v>adc_max_v</x:v>
      </x:c>
      <x:c r="B9" s="22" t="str">
        <x:v>ADC voltage at positive design current</x:v>
      </x:c>
      <x:c r="C9" s="22" t="n">
        <x:v>2.739569017072844</x:v>
      </x:c>
      <x:c r="D9" s="22" t="str">
        <x:v>V</x:v>
      </x:c>
      <x:c r="E9" s="22" t="str"/>
      <x:c r="F9" s="22" t="str"/>
      <x:c r="G9" s="22" t="str">
        <x:v>calculated</x:v>
      </x:c>
      <x:c r="H9" s="22" t="str">
        <x:v>PASS</x:v>
      </x:c>
      <x:c r="I9" s="22" t="str"/>
    </x:row>
    <x:row r="10" ht="15" hidden="0" customHeight="1">
      <x:c r="A10" s="22" t="str">
        <x:v>adc_min_code</x:v>
      </x:c>
      <x:c r="B10" s="22" t="str">
        <x:v>ADC code at negative design current</x:v>
      </x:c>
      <x:c r="C10" s="22" t="n">
        <x:v>766.9773420232095</x:v>
      </x:c>
      <x:c r="D10" s="22" t="str">
        <x:v>code</x:v>
      </x:c>
      <x:c r="E10" s="22" t="str"/>
      <x:c r="F10" s="22" t="str"/>
      <x:c r="G10" s="22" t="str">
        <x:v>calculated</x:v>
      </x:c>
      <x:c r="H10" s="22" t="str">
        <x:v>PASS</x:v>
      </x:c>
      <x:c r="I10" s="22" t="str"/>
    </x:row>
    <x:row r="11" ht="15" hidden="0" customHeight="1">
      <x:c r="A11" s="22" t="str">
        <x:v>adc_max_code</x:v>
      </x:c>
      <x:c r="B11" s="22" t="str">
        <x:v>ADC code at positive design current</x:v>
      </x:c>
      <x:c r="C11" s="22" t="n">
        <x:v>3740.4248979767895</x:v>
      </x:c>
      <x:c r="D11" s="22" t="str">
        <x:v>code</x:v>
      </x:c>
      <x:c r="E11" s="22" t="str"/>
      <x:c r="F11" s="22" t="str"/>
      <x:c r="G11" s="22" t="str">
        <x:v>calculated</x:v>
      </x:c>
      <x:c r="H11" s="22" t="str">
        <x:v>PASS</x:v>
      </x:c>
      <x:c r="I11" s="22" t="str"/>
    </x:row>
    <x:row r="12" ht="15" hidden="0" customHeight="1">
      <x:c r="A12" s="22" t="str">
        <x:v>current_per_code_a</x:v>
      </x:c>
      <x:c r="B12" s="22" t="str">
        <x:v>Current resolution</x:v>
      </x:c>
      <x:c r="C12" s="22" t="n">
        <x:v>0.058570321871251496</x:v>
      </x:c>
      <x:c r="D12" s="22" t="str">
        <x:v>A/code</x:v>
      </x:c>
      <x:c r="E12" s="22" t="str">
        <x:v>Vlsb/Seff</x:v>
      </x:c>
      <x:c r="F12" s="22" t="str"/>
      <x:c r="G12" s="22" t="str">
        <x:v>calculated</x:v>
      </x:c>
      <x:c r="H12" s="22" t="str">
        <x:v>PASS</x:v>
      </x:c>
      <x:c r="I12" s="22" t="str"/>
    </x:row>
    <x:row r="13" ht="15" hidden="0" customHeight="1">
      <x:c r="A13" s="22" t="str">
        <x:v>adc_utilization</x:v>
      </x:c>
      <x:c r="B13" s="22" t="str">
        <x:v>ADC span utilization</x:v>
      </x:c>
      <x:c r="C13" s="22" t="n">
        <x:v>0.7259393447152295</x:v>
      </x:c>
      <x:c r="D13" s="22" t="str">
        <x:v>pu</x:v>
      </x:c>
      <x:c r="E13" s="22" t="str">
        <x:v>(Vmax-Vmin)/Vref</x:v>
      </x:c>
      <x:c r="F13" s="22" t="str"/>
      <x:c r="G13" s="22" t="str">
        <x:v>calculated</x:v>
      </x:c>
      <x:c r="H13" s="22" t="str">
        <x:v>PASS</x:v>
      </x:c>
      <x:c r="I13" s="22" t="str"/>
    </x:row>
  </x:sheetData>
  <x:conditionalFormatting sqref="H2:H13">
    <x:cfRule type="expression" dxfId="20" priority="1">
      <x:formula>H2="PASS"</x:formula>
    </x:cfRule>
    <x:cfRule type="expression" dxfId="21" priority="2">
      <x:formula>H2="WARNING"</x:formula>
    </x:cfRule>
    <x:cfRule type="expression" dxfId="22" priority="3">
      <x:formula>H2="FAIL"</x:formula>
    </x:cfRule>
    <x:cfRule type="expression" dxfId="23" priority="4">
      <x:formula>H2="NOT_EVALUATED"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52bcb08108241ad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12" t="str">
        <x:v>Key</x:v>
      </x:c>
      <x:c r="B1" s="12" t="str">
        <x:v>Metric</x:v>
      </x:c>
      <x:c r="C1" s="12" t="str">
        <x:v>Value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15" hidden="0" customHeight="1">
      <x:c r="A2" s="22" t="str">
        <x:v>rc_cutoff_hz</x:v>
      </x:c>
      <x:c r="B2" s="22" t="str">
        <x:v>RC cutoff frequency</x:v>
      </x:c>
      <x:c r="C2" s="22" t="n">
        <x:v>159154.94309189534</x:v>
      </x:c>
      <x:c r="D2" s="22" t="str">
        <x:v>Hz</x:v>
      </x:c>
      <x:c r="E2" s="22" t="str">
        <x:v>1/(2*pi*R*C)</x:v>
      </x:c>
      <x:c r="F2" s="22" t="str"/>
      <x:c r="G2" s="22" t="str">
        <x:v>calculated</x:v>
      </x:c>
      <x:c r="H2" s="22" t="str">
        <x:v>PASS</x:v>
      </x:c>
      <x:c r="I2" s="22" t="str"/>
    </x:row>
    <x:row r="3" ht="15" hidden="0" customHeight="1">
      <x:c r="A3" s="22" t="str">
        <x:v>effective_bandwidth_hz</x:v>
      </x:c>
      <x:c r="B3" s="22" t="str">
        <x:v>Effective analog bandwidth</x:v>
      </x:c>
      <x:c r="C3" s="22" t="n">
        <x:v>159154.94309189534</x:v>
      </x:c>
      <x:c r="D3" s="22" t="str">
        <x:v>Hz</x:v>
      </x:c>
      <x:c r="E3" s="22" t="str">
        <x:v>min(RC cutoff, sensor bandwidth)</x:v>
      </x:c>
      <x:c r="F3" s="22" t="str"/>
      <x:c r="G3" s="22" t="str">
        <x:v>calculated</x:v>
      </x:c>
      <x:c r="H3" s="22" t="str">
        <x:v>PASS</x:v>
      </x:c>
      <x:c r="I3" s="22" t="str"/>
    </x:row>
    <x:row r="4" ht="15" hidden="0" customHeight="1">
      <x:c r="A4" s="22" t="str">
        <x:v>required_bandwidth_hz</x:v>
      </x:c>
      <x:c r="B4" s="22" t="str">
        <x:v>Minimum required bandwidth</x:v>
      </x:c>
      <x:c r="C4" s="22" t="n">
        <x:v>15000</x:v>
      </x:c>
      <x:c r="D4" s="22" t="str">
        <x:v>Hz</x:v>
      </x:c>
      <x:c r="E4" s="22" t="str">
        <x:v>max(Kbw*floop, floop/tan(phi_budget))</x:v>
      </x:c>
      <x:c r="F4" s="22" t="str"/>
      <x:c r="G4" s="22" t="str">
        <x:v>calculated</x:v>
      </x:c>
      <x:c r="H4" s="22" t="str">
        <x:v>PASS</x:v>
      </x:c>
      <x:c r="I4" s="22" t="str"/>
    </x:row>
    <x:row r="5" ht="15" hidden="0" customHeight="1">
      <x:c r="A5" s="22" t="str">
        <x:v>loop_gain_ratio</x:v>
      </x:c>
      <x:c r="B5" s="22" t="str">
        <x:v>Magnitude at loop crossover</x:v>
      </x:c>
      <x:c r="C5" s="22" t="n">
        <x:v>0.9998223944475859</x:v>
      </x:c>
      <x:c r="D5" s="22" t="str">
        <x:v>pu</x:v>
      </x:c>
      <x:c r="E5" s="22" t="str">
        <x:v>1/sqrt(1+(floop/fc)^2)</x:v>
      </x:c>
      <x:c r="F5" s="22" t="str"/>
      <x:c r="G5" s="22" t="str">
        <x:v>calculated</x:v>
      </x:c>
      <x:c r="H5" s="22" t="str">
        <x:v>PASS</x:v>
      </x:c>
      <x:c r="I5" s="22" t="str"/>
    </x:row>
    <x:row r="6" ht="15" hidden="0" customHeight="1">
      <x:c r="A6" s="22" t="str">
        <x:v>loop_phase_loss_deg</x:v>
      </x:c>
      <x:c r="B6" s="22" t="str">
        <x:v>Analog phase loss at crossover</x:v>
      </x:c>
      <x:c r="C6" s="22" t="n">
        <x:v>1.0798721171883547</x:v>
      </x:c>
      <x:c r="D6" s="22" t="str">
        <x:v>deg</x:v>
      </x:c>
      <x:c r="E6" s="22" t="str">
        <x:v>atan(floop/fc)</x:v>
      </x:c>
      <x:c r="F6" s="22" t="str"/>
      <x:c r="G6" s="22" t="str">
        <x:v>calculated</x:v>
      </x:c>
      <x:c r="H6" s="22" t="str">
        <x:v>PASS</x:v>
      </x:c>
      <x:c r="I6" s="22" t="str"/>
    </x:row>
    <x:row r="7" ht="15" hidden="0" customHeight="1">
      <x:c r="A7" s="22" t="str">
        <x:v>switching_attenuation_db</x:v>
      </x:c>
      <x:c r="B7" s="22" t="str">
        <x:v>Attenuation at switching frequency</x:v>
      </x:c>
      <x:c r="C7" s="22" t="n">
        <x:v>-1.4450701162052872</x:v>
      </x:c>
      <x:c r="D7" s="22" t="str">
        <x:v>dB</x:v>
      </x:c>
      <x:c r="E7" s="22" t="str">
        <x:v>-10*log10(1+(fsw/fc)^2)</x:v>
      </x:c>
      <x:c r="F7" s="22" t="str"/>
      <x:c r="G7" s="22" t="str">
        <x:v>calculated</x:v>
      </x:c>
      <x:c r="H7" s="22" t="str">
        <x:v>PASS</x:v>
      </x:c>
      <x:c r="I7" s="22" t="str"/>
    </x:row>
  </x:sheetData>
  <x:conditionalFormatting sqref="H2:H7">
    <x:cfRule type="expression" dxfId="24" priority="1">
      <x:formula>H2="PASS"</x:formula>
    </x:cfRule>
    <x:cfRule type="expression" dxfId="25" priority="2">
      <x:formula>H2="WARNING"</x:formula>
    </x:cfRule>
    <x:cfRule type="expression" dxfId="26" priority="3">
      <x:formula>H2="FAIL"</x:formula>
    </x:cfRule>
    <x:cfRule type="expression" dxfId="27" priority="4">
      <x:formula>H2="NOT_EVALUATED"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8dddc13061d4685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12" t="str">
        <x:v>Key</x:v>
      </x:c>
      <x:c r="B1" s="12" t="str">
        <x:v>Metric</x:v>
      </x:c>
      <x:c r="C1" s="12" t="str">
        <x:v>Value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15" hidden="0" customHeight="1">
      <x:c r="A2" s="22" t="str">
        <x:v>rc_cutoff_hz</x:v>
      </x:c>
      <x:c r="B2" s="22" t="str">
        <x:v>RC cutoff frequency</x:v>
      </x:c>
      <x:c r="C2" s="22" t="n">
        <x:v>159154.94309189534</x:v>
      </x:c>
      <x:c r="D2" s="22" t="str">
        <x:v>Hz</x:v>
      </x:c>
      <x:c r="E2" s="22" t="str">
        <x:v>1/(2*pi*R*C)</x:v>
      </x:c>
      <x:c r="F2" s="22" t="str"/>
      <x:c r="G2" s="22" t="str">
        <x:v>calculated</x:v>
      </x:c>
      <x:c r="H2" s="22" t="str">
        <x:v>PASS</x:v>
      </x:c>
      <x:c r="I2" s="22" t="str"/>
    </x:row>
    <x:row r="3" ht="15" hidden="0" customHeight="1">
      <x:c r="A3" s="22" t="str">
        <x:v>effective_bandwidth_hz</x:v>
      </x:c>
      <x:c r="B3" s="22" t="str">
        <x:v>Effective analog bandwidth</x:v>
      </x:c>
      <x:c r="C3" s="22" t="n">
        <x:v>159154.94309189534</x:v>
      </x:c>
      <x:c r="D3" s="22" t="str">
        <x:v>Hz</x:v>
      </x:c>
      <x:c r="E3" s="22" t="str">
        <x:v>min(RC cutoff, sensor bandwidth)</x:v>
      </x:c>
      <x:c r="F3" s="22" t="str"/>
      <x:c r="G3" s="22" t="str">
        <x:v>calculated</x:v>
      </x:c>
      <x:c r="H3" s="22" t="str">
        <x:v>PASS</x:v>
      </x:c>
      <x:c r="I3" s="22" t="str"/>
    </x:row>
    <x:row r="4" ht="15" hidden="0" customHeight="1">
      <x:c r="A4" s="22" t="str">
        <x:v>required_bandwidth_hz</x:v>
      </x:c>
      <x:c r="B4" s="22" t="str">
        <x:v>Minimum required bandwidth</x:v>
      </x:c>
      <x:c r="C4" s="22" t="n">
        <x:v>15000</x:v>
      </x:c>
      <x:c r="D4" s="22" t="str">
        <x:v>Hz</x:v>
      </x:c>
      <x:c r="E4" s="22" t="str">
        <x:v>max(Kbw*floop, floop/tan(phi_budget))</x:v>
      </x:c>
      <x:c r="F4" s="22" t="str"/>
      <x:c r="G4" s="22" t="str">
        <x:v>calculated</x:v>
      </x:c>
      <x:c r="H4" s="22" t="str">
        <x:v>PASS</x:v>
      </x:c>
      <x:c r="I4" s="22" t="str"/>
    </x:row>
    <x:row r="5" ht="15" hidden="0" customHeight="1">
      <x:c r="A5" s="22" t="str">
        <x:v>loop_gain_ratio</x:v>
      </x:c>
      <x:c r="B5" s="22" t="str">
        <x:v>Magnitude at loop crossover</x:v>
      </x:c>
      <x:c r="C5" s="22" t="n">
        <x:v>0.9998223944475859</x:v>
      </x:c>
      <x:c r="D5" s="22" t="str">
        <x:v>pu</x:v>
      </x:c>
      <x:c r="E5" s="22" t="str">
        <x:v>1/sqrt(1+(floop/fc)^2)</x:v>
      </x:c>
      <x:c r="F5" s="22" t="str"/>
      <x:c r="G5" s="22" t="str">
        <x:v>calculated</x:v>
      </x:c>
      <x:c r="H5" s="22" t="str">
        <x:v>PASS</x:v>
      </x:c>
      <x:c r="I5" s="22" t="str"/>
    </x:row>
    <x:row r="6" ht="15" hidden="0" customHeight="1">
      <x:c r="A6" s="22" t="str">
        <x:v>loop_phase_loss_deg</x:v>
      </x:c>
      <x:c r="B6" s="22" t="str">
        <x:v>Analog phase loss at crossover</x:v>
      </x:c>
      <x:c r="C6" s="22" t="n">
        <x:v>1.0798721171883547</x:v>
      </x:c>
      <x:c r="D6" s="22" t="str">
        <x:v>deg</x:v>
      </x:c>
      <x:c r="E6" s="22" t="str">
        <x:v>atan(floop/fc)</x:v>
      </x:c>
      <x:c r="F6" s="22" t="str"/>
      <x:c r="G6" s="22" t="str">
        <x:v>calculated</x:v>
      </x:c>
      <x:c r="H6" s="22" t="str">
        <x:v>PASS</x:v>
      </x:c>
      <x:c r="I6" s="22" t="str"/>
    </x:row>
    <x:row r="7" ht="15" hidden="0" customHeight="1">
      <x:c r="A7" s="22" t="str">
        <x:v>switching_attenuation_db</x:v>
      </x:c>
      <x:c r="B7" s="22" t="str">
        <x:v>Attenuation at switching frequency</x:v>
      </x:c>
      <x:c r="C7" s="22" t="n">
        <x:v>-1.4450701162052872</x:v>
      </x:c>
      <x:c r="D7" s="22" t="str">
        <x:v>dB</x:v>
      </x:c>
      <x:c r="E7" s="22" t="str">
        <x:v>-10*log10(1+(fsw/fc)^2)</x:v>
      </x:c>
      <x:c r="F7" s="22" t="str"/>
      <x:c r="G7" s="22" t="str">
        <x:v>calculated</x:v>
      </x:c>
      <x:c r="H7" s="22" t="str">
        <x:v>PASS</x:v>
      </x:c>
      <x:c r="I7" s="22" t="str"/>
    </x:row>
  </x:sheetData>
  <x:conditionalFormatting sqref="H2:H7">
    <x:cfRule type="expression" dxfId="28" priority="1">
      <x:formula>H2="PASS"</x:formula>
    </x:cfRule>
    <x:cfRule type="expression" dxfId="29" priority="2">
      <x:formula>H2="WARNING"</x:formula>
    </x:cfRule>
    <x:cfRule type="expression" dxfId="30" priority="3">
      <x:formula>H2="FAIL"</x:formula>
    </x:cfRule>
    <x:cfRule type="expression" dxfId="31" priority="4">
      <x:formula>H2="NOT_EVALUATED"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ce0800985c74259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12" t="str">
        <x:v>Key</x:v>
      </x:c>
      <x:c r="B1" s="12" t="str">
        <x:v>Metric</x:v>
      </x:c>
      <x:c r="C1" s="12" t="str">
        <x:v>Value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15" hidden="0" customHeight="1">
      <x:c r="A2" s="22" t="str">
        <x:v>rc_cutoff_hz</x:v>
      </x:c>
      <x:c r="B2" s="22" t="str">
        <x:v>RC cutoff frequency</x:v>
      </x:c>
      <x:c r="C2" s="22" t="n">
        <x:v>159154.94309189534</x:v>
      </x:c>
      <x:c r="D2" s="22" t="str">
        <x:v>Hz</x:v>
      </x:c>
      <x:c r="E2" s="22" t="str">
        <x:v>1/(2*pi*R*C)</x:v>
      </x:c>
      <x:c r="F2" s="22" t="str"/>
      <x:c r="G2" s="22" t="str">
        <x:v>calculated</x:v>
      </x:c>
      <x:c r="H2" s="22" t="str">
        <x:v>PASS</x:v>
      </x:c>
      <x:c r="I2" s="22" t="str"/>
    </x:row>
    <x:row r="3" ht="15" hidden="0" customHeight="1">
      <x:c r="A3" s="22" t="str">
        <x:v>effective_bandwidth_hz</x:v>
      </x:c>
      <x:c r="B3" s="22" t="str">
        <x:v>Effective analog bandwidth</x:v>
      </x:c>
      <x:c r="C3" s="22" t="n">
        <x:v>159154.94309189534</x:v>
      </x:c>
      <x:c r="D3" s="22" t="str">
        <x:v>Hz</x:v>
      </x:c>
      <x:c r="E3" s="22" t="str">
        <x:v>min(RC cutoff, sensor bandwidth)</x:v>
      </x:c>
      <x:c r="F3" s="22" t="str"/>
      <x:c r="G3" s="22" t="str">
        <x:v>calculated</x:v>
      </x:c>
      <x:c r="H3" s="22" t="str">
        <x:v>PASS</x:v>
      </x:c>
      <x:c r="I3" s="22" t="str"/>
    </x:row>
    <x:row r="4" ht="15" hidden="0" customHeight="1">
      <x:c r="A4" s="22" t="str">
        <x:v>required_bandwidth_hz</x:v>
      </x:c>
      <x:c r="B4" s="22" t="str">
        <x:v>Minimum required bandwidth</x:v>
      </x:c>
      <x:c r="C4" s="22" t="n">
        <x:v>15000</x:v>
      </x:c>
      <x:c r="D4" s="22" t="str">
        <x:v>Hz</x:v>
      </x:c>
      <x:c r="E4" s="22" t="str">
        <x:v>max(Kbw*floop, floop/tan(phi_budget))</x:v>
      </x:c>
      <x:c r="F4" s="22" t="str"/>
      <x:c r="G4" s="22" t="str">
        <x:v>calculated</x:v>
      </x:c>
      <x:c r="H4" s="22" t="str">
        <x:v>PASS</x:v>
      </x:c>
      <x:c r="I4" s="22" t="str"/>
    </x:row>
    <x:row r="5" ht="15" hidden="0" customHeight="1">
      <x:c r="A5" s="22" t="str">
        <x:v>loop_gain_ratio</x:v>
      </x:c>
      <x:c r="B5" s="22" t="str">
        <x:v>Magnitude at loop crossover</x:v>
      </x:c>
      <x:c r="C5" s="22" t="n">
        <x:v>0.9998223944475859</x:v>
      </x:c>
      <x:c r="D5" s="22" t="str">
        <x:v>pu</x:v>
      </x:c>
      <x:c r="E5" s="22" t="str">
        <x:v>1/sqrt(1+(floop/fc)^2)</x:v>
      </x:c>
      <x:c r="F5" s="22" t="str"/>
      <x:c r="G5" s="22" t="str">
        <x:v>calculated</x:v>
      </x:c>
      <x:c r="H5" s="22" t="str">
        <x:v>PASS</x:v>
      </x:c>
      <x:c r="I5" s="22" t="str"/>
    </x:row>
    <x:row r="6" ht="15" hidden="0" customHeight="1">
      <x:c r="A6" s="22" t="str">
        <x:v>loop_phase_loss_deg</x:v>
      </x:c>
      <x:c r="B6" s="22" t="str">
        <x:v>Analog phase loss at crossover</x:v>
      </x:c>
      <x:c r="C6" s="22" t="n">
        <x:v>1.0798721171883547</x:v>
      </x:c>
      <x:c r="D6" s="22" t="str">
        <x:v>deg</x:v>
      </x:c>
      <x:c r="E6" s="22" t="str">
        <x:v>atan(floop/fc)</x:v>
      </x:c>
      <x:c r="F6" s="22" t="str"/>
      <x:c r="G6" s="22" t="str">
        <x:v>calculated</x:v>
      </x:c>
      <x:c r="H6" s="22" t="str">
        <x:v>PASS</x:v>
      </x:c>
      <x:c r="I6" s="22" t="str"/>
    </x:row>
    <x:row r="7" ht="15" hidden="0" customHeight="1">
      <x:c r="A7" s="22" t="str">
        <x:v>switching_attenuation_db</x:v>
      </x:c>
      <x:c r="B7" s="22" t="str">
        <x:v>Attenuation at switching frequency</x:v>
      </x:c>
      <x:c r="C7" s="22" t="n">
        <x:v>-1.4450701162052872</x:v>
      </x:c>
      <x:c r="D7" s="22" t="str">
        <x:v>dB</x:v>
      </x:c>
      <x:c r="E7" s="22" t="str">
        <x:v>-10*log10(1+(fsw/fc)^2)</x:v>
      </x:c>
      <x:c r="F7" s="22" t="str"/>
      <x:c r="G7" s="22" t="str">
        <x:v>calculated</x:v>
      </x:c>
      <x:c r="H7" s="22" t="str">
        <x:v>PASS</x:v>
      </x:c>
      <x:c r="I7" s="22" t="str"/>
    </x:row>
  </x:sheetData>
  <x:conditionalFormatting sqref="H2:H7">
    <x:cfRule type="expression" dxfId="32" priority="1">
      <x:formula>H2="PASS"</x:formula>
    </x:cfRule>
    <x:cfRule type="expression" dxfId="33" priority="2">
      <x:formula>H2="WARNING"</x:formula>
    </x:cfRule>
    <x:cfRule type="expression" dxfId="34" priority="3">
      <x:formula>H2="FAIL"</x:formula>
    </x:cfRule>
    <x:cfRule type="expression" dxfId="35" priority="4">
      <x:formula>H2="NOT_EVALUATED"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da1feda455842a5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12" t="str">
        <x:v>Key</x:v>
      </x:c>
      <x:c r="B1" s="12" t="str">
        <x:v>Metric</x:v>
      </x:c>
      <x:c r="C1" s="12" t="str">
        <x:v>Value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15" hidden="0" customHeight="1">
      <x:c r="A2" s="22" t="str">
        <x:v>vac_design_peak_v</x:v>
      </x:c>
      <x:c r="B2" s="22" t="str">
        <x:v>VAC design peak including margin</x:v>
      </x:c>
      <x:c r="C2" s="22" t="n">
        <x:v>450.7061126721048</x:v>
      </x:c>
      <x:c r="D2" s="22" t="str">
        <x:v>V</x:v>
      </x:c>
      <x:c r="E2" s="22" t="str">
        <x:v>Vac_rms_max*sqrt(2)*Kmargin</x:v>
      </x:c>
      <x:c r="F2" s="22" t="str"/>
      <x:c r="G2" s="22" t="str">
        <x:v>calculated</x:v>
      </x:c>
      <x:c r="H2" s="22" t="str">
        <x:v>PASS</x:v>
      </x:c>
      <x:c r="I2" s="22" t="str"/>
    </x:row>
    <x:row r="3" ht="15" hidden="0" customHeight="1">
      <x:c r="A3" s="22" t="str">
        <x:v>divider_ratio</x:v>
      </x:c>
      <x:c r="B3" s="22" t="str">
        <x:v>Configured divider ratio</x:v>
      </x:c>
      <x:c r="C3" s="22" t="n">
        <x:v>0.0018299783729828648</x:v>
      </x:c>
      <x:c r="D3" s="22" t="str">
        <x:v>V/V</x:v>
      </x:c>
      <x:c r="E3" s="22" t="str">
        <x:v>Rbottom/(Rtop+Rbottom)</x:v>
      </x:c>
      <x:c r="F3" s="22" t="str"/>
      <x:c r="G3" s="22" t="str">
        <x:v>calculated</x:v>
      </x:c>
      <x:c r="H3" s="22" t="str">
        <x:v>PASS</x:v>
      </x:c>
      <x:c r="I3" s="22" t="str"/>
    </x:row>
    <x:row r="4" ht="15" hidden="0" customHeight="1">
      <x:c r="A4" s="22" t="str">
        <x:v>isolation_input_peak_v</x:v>
      </x:c>
      <x:c r="B4" s="22" t="str">
        <x:v>Isolation amplifier input peak</x:v>
      </x:c>
      <x:c r="C4" s="22" t="n">
        <x:v>0.82478243876113</x:v>
      </x:c>
      <x:c r="D4" s="22" t="str">
        <x:v>V</x:v>
      </x:c>
      <x:c r="E4" s="22" t="str">
        <x:v>Vdesign*Kdivider</x:v>
      </x:c>
      <x:c r="F4" s="22" t="str"/>
      <x:c r="G4" s="22" t="str">
        <x:v>calculated</x:v>
      </x:c>
      <x:c r="H4" s="22" t="str">
        <x:v>PASS</x:v>
      </x:c>
      <x:c r="I4" s="22" t="str"/>
    </x:row>
    <x:row r="5" ht="15" hidden="0" customHeight="1">
      <x:c r="A5" s="22" t="str">
        <x:v>isolation_linear_limit_v</x:v>
      </x:c>
      <x:c r="B5" s="22" t="str">
        <x:v>Isolation amplifier linear input limit</x:v>
      </x:c>
      <x:c r="C5" s="22" t="n">
        <x:v>1</x:v>
      </x:c>
      <x:c r="D5" s="22" t="str">
        <x:v>V</x:v>
      </x:c>
      <x:c r="E5" s="22" t="str"/>
      <x:c r="F5" s="22" t="str"/>
      <x:c r="G5" s="22" t="str">
        <x:v>calculated</x:v>
      </x:c>
      <x:c r="H5" s="22" t="str">
        <x:v>PASS</x:v>
      </x:c>
      <x:c r="I5" s="22" t="str"/>
    </x:row>
    <x:row r="6" ht="15" hidden="0" customHeight="1">
      <x:c r="A6" s="22" t="str">
        <x:v>recommended_high_side_ohm</x:v>
      </x:c>
      <x:c r="B6" s="22" t="str">
        <x:v>Required high-side resistance</x:v>
      </x:c>
      <x:c r="C6" s="22" t="n">
        <x:v>1649289.0797977175</x:v>
      </x:c>
      <x:c r="D6" s="22" t="str">
        <x:v>ohm</x:v>
      </x:c>
      <x:c r="E6" s="22" t="str">
        <x:v>Rbottom*(Vdesign/Vtarget-1)</x:v>
      </x:c>
      <x:c r="F6" s="22" t="str"/>
      <x:c r="G6" s="22" t="str">
        <x:v>calculated</x:v>
      </x:c>
      <x:c r="H6" s="22" t="str">
        <x:v>PASS</x:v>
      </x:c>
      <x:c r="I6" s="22" t="str"/>
    </x:row>
    <x:row r="7" ht="15" hidden="0" customHeight="1">
      <x:c r="A7" s="22" t="str">
        <x:v>adc_output_min_v</x:v>
      </x:c>
      <x:c r="B7" s="22" t="str">
        <x:v>ADC minimum voltage</x:v>
      </x:c>
      <x:c r="C7" s="22" t="n">
        <x:v>0.8252175612388699</x:v>
      </x:c>
      <x:c r="D7" s="22" t="str">
        <x:v>V</x:v>
      </x:c>
      <x:c r="E7" s="22" t="str"/>
      <x:c r="F7" s="22" t="str"/>
      <x:c r="G7" s="22" t="str">
        <x:v>calculated</x:v>
      </x:c>
      <x:c r="H7" s="22" t="str">
        <x:v>PASS</x:v>
      </x:c>
      <x:c r="I7" s="22" t="str"/>
    </x:row>
    <x:row r="8" ht="15" hidden="0" customHeight="1">
      <x:c r="A8" s="22" t="str">
        <x:v>adc_output_max_v</x:v>
      </x:c>
      <x:c r="B8" s="22" t="str">
        <x:v>ADC maximum voltage</x:v>
      </x:c>
      <x:c r="C8" s="22" t="n">
        <x:v>2.47478243876113</x:v>
      </x:c>
      <x:c r="D8" s="22" t="str">
        <x:v>V</x:v>
      </x:c>
      <x:c r="E8" s="22" t="str"/>
      <x:c r="F8" s="22" t="str"/>
      <x:c r="G8" s="22" t="str">
        <x:v>calculated</x:v>
      </x:c>
      <x:c r="H8" s="22" t="str">
        <x:v>PASS</x:v>
      </x:c>
      <x:c r="I8" s="22" t="str"/>
    </x:row>
    <x:row r="9" ht="15" hidden="0" customHeight="1">
      <x:c r="A9" s="22" t="str">
        <x:v>vac_per_code_v</x:v>
      </x:c>
      <x:c r="B9" s="22" t="str">
        <x:v>VAC resolution</x:v>
      </x:c>
      <x:c r="C9" s="22" t="n">
        <x:v>0.4002352627840909</x:v>
      </x:c>
      <x:c r="D9" s="22" t="str">
        <x:v>V/code</x:v>
      </x:c>
      <x:c r="E9" s="22" t="str">
        <x:v>Vlsb/(Kdivider*Gain)</x:v>
      </x:c>
      <x:c r="F9" s="22" t="str"/>
      <x:c r="G9" s="22" t="str">
        <x:v>calculated</x:v>
      </x:c>
      <x:c r="H9" s="22" t="str">
        <x:v>PASS</x:v>
      </x:c>
      <x:c r="I9" s="22" t="str"/>
    </x:row>
    <x:row r="10" ht="15" hidden="0" customHeight="1">
      <x:c r="A10" s="22" t="str">
        <x:v>measurement_basis</x:v>
      </x:c>
      <x:c r="B10" s="22" t="str">
        <x:v>Voltage measurement basis</x:v>
      </x:c>
      <x:c r="C10" s="22" t="str">
        <x:v>phase_to_neutral</x:v>
      </x:c>
      <x:c r="D10" s="22" t="str"/>
      <x:c r="E10" s="22" t="str"/>
      <x:c r="F10" s="22" t="str"/>
      <x:c r="G10" s="22" t="str">
        <x:v>configuration</x:v>
      </x:c>
      <x:c r="H10" s="22" t="str">
        <x:v>PASS</x:v>
      </x:c>
      <x:c r="I10" s="22" t="str"/>
    </x:row>
  </x:sheetData>
  <x:conditionalFormatting sqref="H2:H10">
    <x:cfRule type="expression" dxfId="36" priority="1">
      <x:formula>H2="PASS"</x:formula>
    </x:cfRule>
    <x:cfRule type="expression" dxfId="37" priority="2">
      <x:formula>H2="WARNING"</x:formula>
    </x:cfRule>
    <x:cfRule type="expression" dxfId="38" priority="3">
      <x:formula>H2="FAIL"</x:formula>
    </x:cfRule>
    <x:cfRule type="expression" dxfId="39" priority="4">
      <x:formula>H2="NOT_EVALUATED"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74f61105e3d4178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12" t="str">
        <x:v>Key</x:v>
      </x:c>
      <x:c r="B1" s="12" t="str">
        <x:v>Metric</x:v>
      </x:c>
      <x:c r="C1" s="12" t="str">
        <x:v>Value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15" hidden="0" customHeight="1">
      <x:c r="A2" s="22" t="str">
        <x:v>vac_design_peak_v</x:v>
      </x:c>
      <x:c r="B2" s="22" t="str">
        <x:v>VAC design peak including margin</x:v>
      </x:c>
      <x:c r="C2" s="22" t="n">
        <x:v>450.7061126721048</x:v>
      </x:c>
      <x:c r="D2" s="22" t="str">
        <x:v>V</x:v>
      </x:c>
      <x:c r="E2" s="22" t="str">
        <x:v>Vac_rms_max*sqrt(2)*Kmargin</x:v>
      </x:c>
      <x:c r="F2" s="22" t="str"/>
      <x:c r="G2" s="22" t="str">
        <x:v>calculated</x:v>
      </x:c>
      <x:c r="H2" s="22" t="str">
        <x:v>PASS</x:v>
      </x:c>
      <x:c r="I2" s="22" t="str"/>
    </x:row>
    <x:row r="3" ht="15" hidden="0" customHeight="1">
      <x:c r="A3" s="22" t="str">
        <x:v>divider_ratio</x:v>
      </x:c>
      <x:c r="B3" s="22" t="str">
        <x:v>Configured divider ratio</x:v>
      </x:c>
      <x:c r="C3" s="22" t="n">
        <x:v>0.0018294248485692056</x:v>
      </x:c>
      <x:c r="D3" s="22" t="str">
        <x:v>V/V</x:v>
      </x:c>
      <x:c r="E3" s="22" t="str">
        <x:v>Rbottom/(Rtop+Rbottom)</x:v>
      </x:c>
      <x:c r="F3" s="22" t="str"/>
      <x:c r="G3" s="22" t="str">
        <x:v>calculated</x:v>
      </x:c>
      <x:c r="H3" s="22" t="str">
        <x:v>PASS</x:v>
      </x:c>
      <x:c r="I3" s="22" t="str"/>
    </x:row>
    <x:row r="4" ht="15" hidden="0" customHeight="1">
      <x:c r="A4" s="22" t="str">
        <x:v>isolation_input_peak_v</x:v>
      </x:c>
      <x:c r="B4" s="22" t="str">
        <x:v>Isolation amplifier input peak</x:v>
      </x:c>
      <x:c r="C4" s="22" t="n">
        <x:v>0.8245329619243806</x:v>
      </x:c>
      <x:c r="D4" s="22" t="str">
        <x:v>V</x:v>
      </x:c>
      <x:c r="E4" s="22" t="str">
        <x:v>Vdesign*Kdivider</x:v>
      </x:c>
      <x:c r="F4" s="22" t="str"/>
      <x:c r="G4" s="22" t="str">
        <x:v>calculated</x:v>
      </x:c>
      <x:c r="H4" s="22" t="str">
        <x:v>PASS</x:v>
      </x:c>
      <x:c r="I4" s="22" t="str"/>
    </x:row>
    <x:row r="5" ht="15" hidden="0" customHeight="1">
      <x:c r="A5" s="22" t="str">
        <x:v>isolation_linear_limit_v</x:v>
      </x:c>
      <x:c r="B5" s="22" t="str">
        <x:v>Isolation amplifier linear input limit</x:v>
      </x:c>
      <x:c r="C5" s="22" t="n">
        <x:v>1</x:v>
      </x:c>
      <x:c r="D5" s="22" t="str">
        <x:v>V</x:v>
      </x:c>
      <x:c r="E5" s="22" t="str"/>
      <x:c r="F5" s="22" t="str"/>
      <x:c r="G5" s="22" t="str">
        <x:v>calculated</x:v>
      </x:c>
      <x:c r="H5" s="22" t="str">
        <x:v>PASS</x:v>
      </x:c>
      <x:c r="I5" s="22" t="str"/>
    </x:row>
    <x:row r="6" ht="15" hidden="0" customHeight="1">
      <x:c r="A6" s="22" t="str">
        <x:v>recommended_high_side_ohm</x:v>
      </x:c>
      <x:c r="B6" s="22" t="str">
        <x:v>Required high-side resistance</x:v>
      </x:c>
      <x:c r="C6" s="22" t="n">
        <x:v>1648789.2952280818</x:v>
      </x:c>
      <x:c r="D6" s="22" t="str">
        <x:v>ohm</x:v>
      </x:c>
      <x:c r="E6" s="22" t="str">
        <x:v>Rbottom*(Vdesign/Vtarget-1)</x:v>
      </x:c>
      <x:c r="F6" s="22" t="str"/>
      <x:c r="G6" s="22" t="str">
        <x:v>calculated</x:v>
      </x:c>
      <x:c r="H6" s="22" t="str">
        <x:v>PASS</x:v>
      </x:c>
      <x:c r="I6" s="22" t="str"/>
    </x:row>
    <x:row r="7" ht="15" hidden="0" customHeight="1">
      <x:c r="A7" s="22" t="str">
        <x:v>adc_output_min_v</x:v>
      </x:c>
      <x:c r="B7" s="22" t="str">
        <x:v>ADC minimum voltage</x:v>
      </x:c>
      <x:c r="C7" s="22" t="n">
        <x:v>0.8254670380756193</x:v>
      </x:c>
      <x:c r="D7" s="22" t="str">
        <x:v>V</x:v>
      </x:c>
      <x:c r="E7" s="22" t="str"/>
      <x:c r="F7" s="22" t="str"/>
      <x:c r="G7" s="22" t="str">
        <x:v>calculated</x:v>
      </x:c>
      <x:c r="H7" s="22" t="str">
        <x:v>PASS</x:v>
      </x:c>
      <x:c r="I7" s="22" t="str"/>
    </x:row>
    <x:row r="8" ht="15" hidden="0" customHeight="1">
      <x:c r="A8" s="22" t="str">
        <x:v>adc_output_max_v</x:v>
      </x:c>
      <x:c r="B8" s="22" t="str">
        <x:v>ADC maximum voltage</x:v>
      </x:c>
      <x:c r="C8" s="22" t="n">
        <x:v>2.4745329619243805</x:v>
      </x:c>
      <x:c r="D8" s="22" t="str">
        <x:v>V</x:v>
      </x:c>
      <x:c r="E8" s="22" t="str"/>
      <x:c r="F8" s="22" t="str"/>
      <x:c r="G8" s="22" t="str">
        <x:v>calculated</x:v>
      </x:c>
      <x:c r="H8" s="22" t="str">
        <x:v>PASS</x:v>
      </x:c>
      <x:c r="I8" s="22" t="str"/>
    </x:row>
    <x:row r="9" ht="15" hidden="0" customHeight="1">
      <x:c r="A9" s="22" t="str">
        <x:v>vac_per_code_v</x:v>
      </x:c>
      <x:c r="B9" s="22" t="str">
        <x:v>VAC resolution</x:v>
      </x:c>
      <x:c r="C9" s="22" t="n">
        <x:v>0.4003563609474462</x:v>
      </x:c>
      <x:c r="D9" s="22" t="str">
        <x:v>V/code</x:v>
      </x:c>
      <x:c r="E9" s="22" t="str">
        <x:v>Vlsb/(Kdivider*Gain)</x:v>
      </x:c>
      <x:c r="F9" s="22" t="str"/>
      <x:c r="G9" s="22" t="str">
        <x:v>calculated</x:v>
      </x:c>
      <x:c r="H9" s="22" t="str">
        <x:v>PASS</x:v>
      </x:c>
      <x:c r="I9" s="22" t="str"/>
    </x:row>
    <x:row r="10" ht="15" hidden="0" customHeight="1">
      <x:c r="A10" s="22" t="str">
        <x:v>measurement_basis</x:v>
      </x:c>
      <x:c r="B10" s="22" t="str">
        <x:v>Voltage measurement basis</x:v>
      </x:c>
      <x:c r="C10" s="22" t="str">
        <x:v>phase_to_neutral</x:v>
      </x:c>
      <x:c r="D10" s="22" t="str"/>
      <x:c r="E10" s="22" t="str"/>
      <x:c r="F10" s="22" t="str"/>
      <x:c r="G10" s="22" t="str">
        <x:v>configuration</x:v>
      </x:c>
      <x:c r="H10" s="22" t="str">
        <x:v>PASS</x:v>
      </x:c>
      <x:c r="I10" s="22" t="str"/>
    </x:row>
  </x:sheetData>
  <x:conditionalFormatting sqref="H2:H10">
    <x:cfRule type="expression" dxfId="40" priority="1">
      <x:formula>H2="PASS"</x:formula>
    </x:cfRule>
    <x:cfRule type="expression" dxfId="41" priority="2">
      <x:formula>H2="WARNING"</x:formula>
    </x:cfRule>
    <x:cfRule type="expression" dxfId="42" priority="3">
      <x:formula>H2="FAIL"</x:formula>
    </x:cfRule>
    <x:cfRule type="expression" dxfId="43" priority="4">
      <x:formula>H2="NOT_EVALUATED"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269083057284f59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12" t="str">
        <x:v>Key</x:v>
      </x:c>
      <x:c r="B1" s="12" t="str">
        <x:v>Metric</x:v>
      </x:c>
      <x:c r="C1" s="12" t="str">
        <x:v>Value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15" hidden="0" customHeight="1">
      <x:c r="A2" s="22" t="str">
        <x:v>vac_design_peak_v</x:v>
      </x:c>
      <x:c r="B2" s="22" t="str">
        <x:v>VAC design peak including margin</x:v>
      </x:c>
      <x:c r="C2" s="22" t="n">
        <x:v>450.7061126721048</x:v>
      </x:c>
      <x:c r="D2" s="22" t="str">
        <x:v>V</x:v>
      </x:c>
      <x:c r="E2" s="22" t="str">
        <x:v>Vac_rms_max*sqrt(2)*Kmargin</x:v>
      </x:c>
      <x:c r="F2" s="22" t="str"/>
      <x:c r="G2" s="22" t="str">
        <x:v>calculated</x:v>
      </x:c>
      <x:c r="H2" s="22" t="str">
        <x:v>PASS</x:v>
      </x:c>
      <x:c r="I2" s="22" t="str"/>
    </x:row>
    <x:row r="3" ht="15" hidden="0" customHeight="1">
      <x:c r="A3" s="22" t="str">
        <x:v>divider_ratio</x:v>
      </x:c>
      <x:c r="B3" s="22" t="str">
        <x:v>Configured divider ratio</x:v>
      </x:c>
      <x:c r="C3" s="22" t="n">
        <x:v>0.0018305318967826226</x:v>
      </x:c>
      <x:c r="D3" s="22" t="str">
        <x:v>V/V</x:v>
      </x:c>
      <x:c r="E3" s="22" t="str">
        <x:v>Rbottom/(Rtop+Rbottom)</x:v>
      </x:c>
      <x:c r="F3" s="22" t="str"/>
      <x:c r="G3" s="22" t="str">
        <x:v>calculated</x:v>
      </x:c>
      <x:c r="H3" s="22" t="str">
        <x:v>PASS</x:v>
      </x:c>
      <x:c r="I3" s="22" t="str"/>
    </x:row>
    <x:row r="4" ht="15" hidden="0" customHeight="1">
      <x:c r="A4" s="22" t="str">
        <x:v>isolation_input_peak_v</x:v>
      </x:c>
      <x:c r="B4" s="22" t="str">
        <x:v>Isolation amplifier input peak</x:v>
      </x:c>
      <x:c r="C4" s="22" t="n">
        <x:v>0.8250319153211904</x:v>
      </x:c>
      <x:c r="D4" s="22" t="str">
        <x:v>V</x:v>
      </x:c>
      <x:c r="E4" s="22" t="str">
        <x:v>Vdesign*Kdivider</x:v>
      </x:c>
      <x:c r="F4" s="22" t="str"/>
      <x:c r="G4" s="22" t="str">
        <x:v>calculated</x:v>
      </x:c>
      <x:c r="H4" s="22" t="str">
        <x:v>PASS</x:v>
      </x:c>
      <x:c r="I4" s="22" t="str"/>
    </x:row>
    <x:row r="5" ht="15" hidden="0" customHeight="1">
      <x:c r="A5" s="22" t="str">
        <x:v>isolation_linear_limit_v</x:v>
      </x:c>
      <x:c r="B5" s="22" t="str">
        <x:v>Isolation amplifier linear input limit</x:v>
      </x:c>
      <x:c r="C5" s="22" t="n">
        <x:v>1</x:v>
      </x:c>
      <x:c r="D5" s="22" t="str">
        <x:v>V</x:v>
      </x:c>
      <x:c r="E5" s="22" t="str"/>
      <x:c r="F5" s="22" t="str"/>
      <x:c r="G5" s="22" t="str">
        <x:v>calculated</x:v>
      </x:c>
      <x:c r="H5" s="22" t="str">
        <x:v>PASS</x:v>
      </x:c>
      <x:c r="I5" s="22" t="str"/>
    </x:row>
    <x:row r="6" ht="15" hidden="0" customHeight="1">
      <x:c r="A6" s="22" t="str">
        <x:v>recommended_high_side_ohm</x:v>
      </x:c>
      <x:c r="B6" s="22" t="str">
        <x:v>Required high-side resistance</x:v>
      </x:c>
      <x:c r="C6" s="22" t="n">
        <x:v>1649788.8643673533</x:v>
      </x:c>
      <x:c r="D6" s="22" t="str">
        <x:v>ohm</x:v>
      </x:c>
      <x:c r="E6" s="22" t="str">
        <x:v>Rbottom*(Vdesign/Vtarget-1)</x:v>
      </x:c>
      <x:c r="F6" s="22" t="str"/>
      <x:c r="G6" s="22" t="str">
        <x:v>calculated</x:v>
      </x:c>
      <x:c r="H6" s="22" t="str">
        <x:v>PASS</x:v>
      </x:c>
      <x:c r="I6" s="22" t="str"/>
    </x:row>
    <x:row r="7" ht="15" hidden="0" customHeight="1">
      <x:c r="A7" s="22" t="str">
        <x:v>adc_output_min_v</x:v>
      </x:c>
      <x:c r="B7" s="22" t="str">
        <x:v>ADC minimum voltage</x:v>
      </x:c>
      <x:c r="C7" s="22" t="n">
        <x:v>0.8249680846788096</x:v>
      </x:c>
      <x:c r="D7" s="22" t="str">
        <x:v>V</x:v>
      </x:c>
      <x:c r="E7" s="22" t="str"/>
      <x:c r="F7" s="22" t="str"/>
      <x:c r="G7" s="22" t="str">
        <x:v>calculated</x:v>
      </x:c>
      <x:c r="H7" s="22" t="str">
        <x:v>PASS</x:v>
      </x:c>
      <x:c r="I7" s="22" t="str"/>
    </x:row>
    <x:row r="8" ht="15" hidden="0" customHeight="1">
      <x:c r="A8" s="22" t="str">
        <x:v>adc_output_max_v</x:v>
      </x:c>
      <x:c r="B8" s="22" t="str">
        <x:v>ADC maximum voltage</x:v>
      </x:c>
      <x:c r="C8" s="22" t="n">
        <x:v>2.4750319153211904</x:v>
      </x:c>
      <x:c r="D8" s="22" t="str">
        <x:v>V</x:v>
      </x:c>
      <x:c r="E8" s="22" t="str"/>
      <x:c r="F8" s="22" t="str"/>
      <x:c r="G8" s="22" t="str">
        <x:v>calculated</x:v>
      </x:c>
      <x:c r="H8" s="22" t="str">
        <x:v>PASS</x:v>
      </x:c>
      <x:c r="I8" s="22" t="str"/>
    </x:row>
    <x:row r="9" ht="15" hidden="0" customHeight="1">
      <x:c r="A9" s="22" t="str">
        <x:v>vac_per_code_v</x:v>
      </x:c>
      <x:c r="B9" s="22" t="str">
        <x:v>VAC resolution</x:v>
      </x:c>
      <x:c r="C9" s="22" t="n">
        <x:v>0.4001142379913284</x:v>
      </x:c>
      <x:c r="D9" s="22" t="str">
        <x:v>V/code</x:v>
      </x:c>
      <x:c r="E9" s="22" t="str">
        <x:v>Vlsb/(Kdivider*Gain)</x:v>
      </x:c>
      <x:c r="F9" s="22" t="str"/>
      <x:c r="G9" s="22" t="str">
        <x:v>calculated</x:v>
      </x:c>
      <x:c r="H9" s="22" t="str">
        <x:v>PASS</x:v>
      </x:c>
      <x:c r="I9" s="22" t="str"/>
    </x:row>
    <x:row r="10" ht="15" hidden="0" customHeight="1">
      <x:c r="A10" s="22" t="str">
        <x:v>measurement_basis</x:v>
      </x:c>
      <x:c r="B10" s="22" t="str">
        <x:v>Voltage measurement basis</x:v>
      </x:c>
      <x:c r="C10" s="22" t="str">
        <x:v>phase_to_neutral</x:v>
      </x:c>
      <x:c r="D10" s="22" t="str"/>
      <x:c r="E10" s="22" t="str"/>
      <x:c r="F10" s="22" t="str"/>
      <x:c r="G10" s="22" t="str">
        <x:v>configuration</x:v>
      </x:c>
      <x:c r="H10" s="22" t="str">
        <x:v>PASS</x:v>
      </x:c>
      <x:c r="I10" s="22" t="str"/>
    </x:row>
  </x:sheetData>
  <x:conditionalFormatting sqref="H2:H10">
    <x:cfRule type="expression" dxfId="44" priority="1">
      <x:formula>H2="PASS"</x:formula>
    </x:cfRule>
    <x:cfRule type="expression" dxfId="45" priority="2">
      <x:formula>H2="WARNING"</x:formula>
    </x:cfRule>
    <x:cfRule type="expression" dxfId="46" priority="3">
      <x:formula>H2="FAIL"</x:formula>
    </x:cfRule>
    <x:cfRule type="expression" dxfId="47" priority="4">
      <x:formula>H2="NOT_EVALUATED"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469344a7c9a47c7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12" t="str">
        <x:v>Key</x:v>
      </x:c>
      <x:c r="B1" s="12" t="str">
        <x:v>Metric</x:v>
      </x:c>
      <x:c r="C1" s="12" t="str">
        <x:v>Value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15" hidden="0" customHeight="1">
      <x:c r="A2" s="22" t="str">
        <x:v>rc_cutoff_hz</x:v>
      </x:c>
      <x:c r="B2" s="22" t="str">
        <x:v>RC cutoff frequency</x:v>
      </x:c>
      <x:c r="C2" s="22" t="n">
        <x:v>338627.5384933943</x:v>
      </x:c>
      <x:c r="D2" s="22" t="str">
        <x:v>Hz</x:v>
      </x:c>
      <x:c r="E2" s="22" t="str">
        <x:v>1/(2*pi*R*C)</x:v>
      </x:c>
      <x:c r="F2" s="22" t="str"/>
      <x:c r="G2" s="22" t="str">
        <x:v>calculated</x:v>
      </x:c>
      <x:c r="H2" s="22" t="str">
        <x:v>PASS</x:v>
      </x:c>
      <x:c r="I2" s="22" t="str"/>
    </x:row>
    <x:row r="3" ht="15" hidden="0" customHeight="1">
      <x:c r="A3" s="22" t="str">
        <x:v>effective_bandwidth_hz</x:v>
      </x:c>
      <x:c r="B3" s="22" t="str">
        <x:v>Effective analog bandwidth</x:v>
      </x:c>
      <x:c r="C3" s="22" t="n">
        <x:v>145000</x:v>
      </x:c>
      <x:c r="D3" s="22" t="str">
        <x:v>Hz</x:v>
      </x:c>
      <x:c r="E3" s="22" t="str">
        <x:v>min(RC cutoff, sensor bandwidth)</x:v>
      </x:c>
      <x:c r="F3" s="22" t="str"/>
      <x:c r="G3" s="22" t="str">
        <x:v>calculated</x:v>
      </x:c>
      <x:c r="H3" s="22" t="str">
        <x:v>PASS</x:v>
      </x:c>
      <x:c r="I3" s="22" t="str"/>
    </x:row>
    <x:row r="4" ht="15" hidden="0" customHeight="1">
      <x:c r="A4" s="22" t="str">
        <x:v>required_bandwidth_hz</x:v>
      </x:c>
      <x:c r="B4" s="22" t="str">
        <x:v>Minimum required bandwidth</x:v>
      </x:c>
      <x:c r="C4" s="22" t="n">
        <x:v>342.9015690828403</x:v>
      </x:c>
      <x:c r="D4" s="22" t="str">
        <x:v>Hz</x:v>
      </x:c>
      <x:c r="E4" s="22" t="str">
        <x:v>max(Kbw*floop, floop/tan(phi_budget))</x:v>
      </x:c>
      <x:c r="F4" s="22" t="str"/>
      <x:c r="G4" s="22" t="str">
        <x:v>calculated</x:v>
      </x:c>
      <x:c r="H4" s="22" t="str">
        <x:v>PASS</x:v>
      </x:c>
      <x:c r="I4" s="22" t="str"/>
    </x:row>
    <x:row r="5" ht="15" hidden="0" customHeight="1">
      <x:c r="A5" s="22" t="str">
        <x:v>loop_gain_ratio</x:v>
      </x:c>
      <x:c r="B5" s="22" t="str">
        <x:v>Magnitude at loop crossover</x:v>
      </x:c>
      <x:c r="C5" s="22" t="n">
        <x:v>0.9999999785969091</x:v>
      </x:c>
      <x:c r="D5" s="22" t="str">
        <x:v>pu</x:v>
      </x:c>
      <x:c r="E5" s="22" t="str">
        <x:v>1/sqrt(1+(floop/fc)^2)</x:v>
      </x:c>
      <x:c r="F5" s="22" t="str"/>
      <x:c r="G5" s="22" t="str">
        <x:v>calculated</x:v>
      </x:c>
      <x:c r="H5" s="22" t="str">
        <x:v>PASS</x:v>
      </x:c>
      <x:c r="I5" s="22" t="str"/>
    </x:row>
    <x:row r="6" ht="15" hidden="0" customHeight="1">
      <x:c r="A6" s="22" t="str">
        <x:v>loop_phase_loss_deg</x:v>
      </x:c>
      <x:c r="B6" s="22" t="str">
        <x:v>Analog phase loss at crossover</x:v>
      </x:c>
      <x:c r="C6" s="22" t="n">
        <x:v>0.011854299040457476</x:v>
      </x:c>
      <x:c r="D6" s="22" t="str">
        <x:v>deg</x:v>
      </x:c>
      <x:c r="E6" s="22" t="str">
        <x:v>atan(floop/fc)</x:v>
      </x:c>
      <x:c r="F6" s="22" t="str"/>
      <x:c r="G6" s="22" t="str">
        <x:v>calculated</x:v>
      </x:c>
      <x:c r="H6" s="22" t="str">
        <x:v>PASS</x:v>
      </x:c>
      <x:c r="I6" s="22" t="str"/>
    </x:row>
    <x:row r="7" ht="15" hidden="0" customHeight="1">
      <x:c r="A7" s="22" t="str">
        <x:v>switching_attenuation_db</x:v>
      </x:c>
      <x:c r="B7" s="22" t="str">
        <x:v>Attenuation at switching frequency</x:v>
      </x:c>
      <x:c r="C7" s="22" t="n">
        <x:v>-1.6897578570081766</x:v>
      </x:c>
      <x:c r="D7" s="22" t="str">
        <x:v>dB</x:v>
      </x:c>
      <x:c r="E7" s="22" t="str">
        <x:v>-10*log10(1+(fsw/fc)^2)</x:v>
      </x:c>
      <x:c r="F7" s="22" t="str"/>
      <x:c r="G7" s="22" t="str">
        <x:v>calculated</x:v>
      </x:c>
      <x:c r="H7" s="22" t="str">
        <x:v>PASS</x:v>
      </x:c>
      <x:c r="I7" s="22" t="str"/>
    </x:row>
  </x:sheetData>
  <x:conditionalFormatting sqref="H2:H7">
    <x:cfRule type="expression" dxfId="48" priority="1">
      <x:formula>H2="PASS"</x:formula>
    </x:cfRule>
    <x:cfRule type="expression" dxfId="49" priority="2">
      <x:formula>H2="WARNING"</x:formula>
    </x:cfRule>
    <x:cfRule type="expression" dxfId="50" priority="3">
      <x:formula>H2="FAIL"</x:formula>
    </x:cfRule>
    <x:cfRule type="expression" dxfId="51" priority="4">
      <x:formula>H2="NOT_EVALUATED"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46085dc156a4f7a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12" t="str">
        <x:v>Key</x:v>
      </x:c>
      <x:c r="B1" s="12" t="str">
        <x:v>Metric</x:v>
      </x:c>
      <x:c r="C1" s="12" t="str">
        <x:v>Value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15" hidden="0" customHeight="1">
      <x:c r="A2" s="22" t="str">
        <x:v>rc_cutoff_hz</x:v>
      </x:c>
      <x:c r="B2" s="22" t="str">
        <x:v>RC cutoff frequency</x:v>
      </x:c>
      <x:c r="C2" s="22" t="n">
        <x:v>338627.5384933943</x:v>
      </x:c>
      <x:c r="D2" s="22" t="str">
        <x:v>Hz</x:v>
      </x:c>
      <x:c r="E2" s="22" t="str">
        <x:v>1/(2*pi*R*C)</x:v>
      </x:c>
      <x:c r="F2" s="22" t="str"/>
      <x:c r="G2" s="22" t="str">
        <x:v>calculated</x:v>
      </x:c>
      <x:c r="H2" s="22" t="str">
        <x:v>PASS</x:v>
      </x:c>
      <x:c r="I2" s="22" t="str"/>
    </x:row>
    <x:row r="3" ht="15" hidden="0" customHeight="1">
      <x:c r="A3" s="22" t="str">
        <x:v>effective_bandwidth_hz</x:v>
      </x:c>
      <x:c r="B3" s="22" t="str">
        <x:v>Effective analog bandwidth</x:v>
      </x:c>
      <x:c r="C3" s="22" t="n">
        <x:v>145000</x:v>
      </x:c>
      <x:c r="D3" s="22" t="str">
        <x:v>Hz</x:v>
      </x:c>
      <x:c r="E3" s="22" t="str">
        <x:v>min(RC cutoff, sensor bandwidth)</x:v>
      </x:c>
      <x:c r="F3" s="22" t="str"/>
      <x:c r="G3" s="22" t="str">
        <x:v>calculated</x:v>
      </x:c>
      <x:c r="H3" s="22" t="str">
        <x:v>PASS</x:v>
      </x:c>
      <x:c r="I3" s="22" t="str"/>
    </x:row>
    <x:row r="4" ht="15" hidden="0" customHeight="1">
      <x:c r="A4" s="22" t="str">
        <x:v>required_bandwidth_hz</x:v>
      </x:c>
      <x:c r="B4" s="22" t="str">
        <x:v>Minimum required bandwidth</x:v>
      </x:c>
      <x:c r="C4" s="22" t="n">
        <x:v>342.9015690828403</x:v>
      </x:c>
      <x:c r="D4" s="22" t="str">
        <x:v>Hz</x:v>
      </x:c>
      <x:c r="E4" s="22" t="str">
        <x:v>max(Kbw*floop, floop/tan(phi_budget))</x:v>
      </x:c>
      <x:c r="F4" s="22" t="str"/>
      <x:c r="G4" s="22" t="str">
        <x:v>calculated</x:v>
      </x:c>
      <x:c r="H4" s="22" t="str">
        <x:v>PASS</x:v>
      </x:c>
      <x:c r="I4" s="22" t="str"/>
    </x:row>
    <x:row r="5" ht="15" hidden="0" customHeight="1">
      <x:c r="A5" s="22" t="str">
        <x:v>loop_gain_ratio</x:v>
      </x:c>
      <x:c r="B5" s="22" t="str">
        <x:v>Magnitude at loop crossover</x:v>
      </x:c>
      <x:c r="C5" s="22" t="n">
        <x:v>0.9999999785969091</x:v>
      </x:c>
      <x:c r="D5" s="22" t="str">
        <x:v>pu</x:v>
      </x:c>
      <x:c r="E5" s="22" t="str">
        <x:v>1/sqrt(1+(floop/fc)^2)</x:v>
      </x:c>
      <x:c r="F5" s="22" t="str"/>
      <x:c r="G5" s="22" t="str">
        <x:v>calculated</x:v>
      </x:c>
      <x:c r="H5" s="22" t="str">
        <x:v>PASS</x:v>
      </x:c>
      <x:c r="I5" s="22" t="str"/>
    </x:row>
    <x:row r="6" ht="15" hidden="0" customHeight="1">
      <x:c r="A6" s="22" t="str">
        <x:v>loop_phase_loss_deg</x:v>
      </x:c>
      <x:c r="B6" s="22" t="str">
        <x:v>Analog phase loss at crossover</x:v>
      </x:c>
      <x:c r="C6" s="22" t="n">
        <x:v>0.011854299040457476</x:v>
      </x:c>
      <x:c r="D6" s="22" t="str">
        <x:v>deg</x:v>
      </x:c>
      <x:c r="E6" s="22" t="str">
        <x:v>atan(floop/fc)</x:v>
      </x:c>
      <x:c r="F6" s="22" t="str"/>
      <x:c r="G6" s="22" t="str">
        <x:v>calculated</x:v>
      </x:c>
      <x:c r="H6" s="22" t="str">
        <x:v>PASS</x:v>
      </x:c>
      <x:c r="I6" s="22" t="str"/>
    </x:row>
    <x:row r="7" ht="15" hidden="0" customHeight="1">
      <x:c r="A7" s="22" t="str">
        <x:v>switching_attenuation_db</x:v>
      </x:c>
      <x:c r="B7" s="22" t="str">
        <x:v>Attenuation at switching frequency</x:v>
      </x:c>
      <x:c r="C7" s="22" t="n">
        <x:v>-1.6897578570081766</x:v>
      </x:c>
      <x:c r="D7" s="22" t="str">
        <x:v>dB</x:v>
      </x:c>
      <x:c r="E7" s="22" t="str">
        <x:v>-10*log10(1+(fsw/fc)^2)</x:v>
      </x:c>
      <x:c r="F7" s="22" t="str"/>
      <x:c r="G7" s="22" t="str">
        <x:v>calculated</x:v>
      </x:c>
      <x:c r="H7" s="22" t="str">
        <x:v>PASS</x:v>
      </x:c>
      <x:c r="I7" s="22" t="str"/>
    </x:row>
  </x:sheetData>
  <x:conditionalFormatting sqref="H2:H7">
    <x:cfRule type="expression" dxfId="52" priority="1">
      <x:formula>H2="PASS"</x:formula>
    </x:cfRule>
    <x:cfRule type="expression" dxfId="53" priority="2">
      <x:formula>H2="WARNING"</x:formula>
    </x:cfRule>
    <x:cfRule type="expression" dxfId="54" priority="3">
      <x:formula>H2="FAIL"</x:formula>
    </x:cfRule>
    <x:cfRule type="expression" dxfId="55" priority="4">
      <x:formula>H2="NOT_EVALUATED"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1267eefea004615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12" t="str">
        <x:v>Key</x:v>
      </x:c>
      <x:c r="B1" s="12" t="str">
        <x:v>Metric</x:v>
      </x:c>
      <x:c r="C1" s="12" t="str">
        <x:v>Value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15" hidden="0" customHeight="1">
      <x:c r="A2" s="22" t="str">
        <x:v>rc_cutoff_hz</x:v>
      </x:c>
      <x:c r="B2" s="22" t="str">
        <x:v>RC cutoff frequency</x:v>
      </x:c>
      <x:c r="C2" s="22" t="n">
        <x:v>338627.5384933943</x:v>
      </x:c>
      <x:c r="D2" s="22" t="str">
        <x:v>Hz</x:v>
      </x:c>
      <x:c r="E2" s="22" t="str">
        <x:v>1/(2*pi*R*C)</x:v>
      </x:c>
      <x:c r="F2" s="22" t="str"/>
      <x:c r="G2" s="22" t="str">
        <x:v>calculated</x:v>
      </x:c>
      <x:c r="H2" s="22" t="str">
        <x:v>PASS</x:v>
      </x:c>
      <x:c r="I2" s="22" t="str"/>
    </x:row>
    <x:row r="3" ht="15" hidden="0" customHeight="1">
      <x:c r="A3" s="22" t="str">
        <x:v>effective_bandwidth_hz</x:v>
      </x:c>
      <x:c r="B3" s="22" t="str">
        <x:v>Effective analog bandwidth</x:v>
      </x:c>
      <x:c r="C3" s="22" t="n">
        <x:v>145000</x:v>
      </x:c>
      <x:c r="D3" s="22" t="str">
        <x:v>Hz</x:v>
      </x:c>
      <x:c r="E3" s="22" t="str">
        <x:v>min(RC cutoff, sensor bandwidth)</x:v>
      </x:c>
      <x:c r="F3" s="22" t="str"/>
      <x:c r="G3" s="22" t="str">
        <x:v>calculated</x:v>
      </x:c>
      <x:c r="H3" s="22" t="str">
        <x:v>PASS</x:v>
      </x:c>
      <x:c r="I3" s="22" t="str"/>
    </x:row>
    <x:row r="4" ht="15" hidden="0" customHeight="1">
      <x:c r="A4" s="22" t="str">
        <x:v>required_bandwidth_hz</x:v>
      </x:c>
      <x:c r="B4" s="22" t="str">
        <x:v>Minimum required bandwidth</x:v>
      </x:c>
      <x:c r="C4" s="22" t="n">
        <x:v>342.9015690828403</x:v>
      </x:c>
      <x:c r="D4" s="22" t="str">
        <x:v>Hz</x:v>
      </x:c>
      <x:c r="E4" s="22" t="str">
        <x:v>max(Kbw*floop, floop/tan(phi_budget))</x:v>
      </x:c>
      <x:c r="F4" s="22" t="str"/>
      <x:c r="G4" s="22" t="str">
        <x:v>calculated</x:v>
      </x:c>
      <x:c r="H4" s="22" t="str">
        <x:v>PASS</x:v>
      </x:c>
      <x:c r="I4" s="22" t="str"/>
    </x:row>
    <x:row r="5" ht="15" hidden="0" customHeight="1">
      <x:c r="A5" s="22" t="str">
        <x:v>loop_gain_ratio</x:v>
      </x:c>
      <x:c r="B5" s="22" t="str">
        <x:v>Magnitude at loop crossover</x:v>
      </x:c>
      <x:c r="C5" s="22" t="n">
        <x:v>0.9999999785969091</x:v>
      </x:c>
      <x:c r="D5" s="22" t="str">
        <x:v>pu</x:v>
      </x:c>
      <x:c r="E5" s="22" t="str">
        <x:v>1/sqrt(1+(floop/fc)^2)</x:v>
      </x:c>
      <x:c r="F5" s="22" t="str"/>
      <x:c r="G5" s="22" t="str">
        <x:v>calculated</x:v>
      </x:c>
      <x:c r="H5" s="22" t="str">
        <x:v>PASS</x:v>
      </x:c>
      <x:c r="I5" s="22" t="str"/>
    </x:row>
    <x:row r="6" ht="15" hidden="0" customHeight="1">
      <x:c r="A6" s="22" t="str">
        <x:v>loop_phase_loss_deg</x:v>
      </x:c>
      <x:c r="B6" s="22" t="str">
        <x:v>Analog phase loss at crossover</x:v>
      </x:c>
      <x:c r="C6" s="22" t="n">
        <x:v>0.011854299040457476</x:v>
      </x:c>
      <x:c r="D6" s="22" t="str">
        <x:v>deg</x:v>
      </x:c>
      <x:c r="E6" s="22" t="str">
        <x:v>atan(floop/fc)</x:v>
      </x:c>
      <x:c r="F6" s="22" t="str"/>
      <x:c r="G6" s="22" t="str">
        <x:v>calculated</x:v>
      </x:c>
      <x:c r="H6" s="22" t="str">
        <x:v>PASS</x:v>
      </x:c>
      <x:c r="I6" s="22" t="str"/>
    </x:row>
    <x:row r="7" ht="15" hidden="0" customHeight="1">
      <x:c r="A7" s="22" t="str">
        <x:v>switching_attenuation_db</x:v>
      </x:c>
      <x:c r="B7" s="22" t="str">
        <x:v>Attenuation at switching frequency</x:v>
      </x:c>
      <x:c r="C7" s="22" t="n">
        <x:v>-1.6897578570081766</x:v>
      </x:c>
      <x:c r="D7" s="22" t="str">
        <x:v>dB</x:v>
      </x:c>
      <x:c r="E7" s="22" t="str">
        <x:v>-10*log10(1+(fsw/fc)^2)</x:v>
      </x:c>
      <x:c r="F7" s="22" t="str"/>
      <x:c r="G7" s="22" t="str">
        <x:v>calculated</x:v>
      </x:c>
      <x:c r="H7" s="22" t="str">
        <x:v>PASS</x:v>
      </x:c>
      <x:c r="I7" s="22" t="str"/>
    </x:row>
  </x:sheetData>
  <x:conditionalFormatting sqref="H2:H7">
    <x:cfRule type="expression" dxfId="56" priority="1">
      <x:formula>H2="PASS"</x:formula>
    </x:cfRule>
    <x:cfRule type="expression" dxfId="57" priority="2">
      <x:formula>H2="WARNING"</x:formula>
    </x:cfRule>
    <x:cfRule type="expression" dxfId="58" priority="3">
      <x:formula>H2="FAIL"</x:formula>
    </x:cfRule>
    <x:cfRule type="expression" dxfId="59" priority="4">
      <x:formula>H2="NOT_EVALUATED"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554a3018f2a43a9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12" t="str">
        <x:v>Key</x:v>
      </x:c>
      <x:c r="B1" s="12" t="str">
        <x:v>Metric</x:v>
      </x:c>
      <x:c r="C1" s="12" t="str">
        <x:v>Value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26.399999618530273" hidden="0" customHeight="1">
      <x:c r="A2" s="22" t="str">
        <x:v>phase_current_gain_mismatch_percent</x:v>
      </x:c>
      <x:c r="B2" s="22" t="str">
        <x:v>Phase-current gain mismatch</x:v>
      </x:c>
      <x:c r="C2" s="22" t="n">
        <x:v>0.09000300009999618</x:v>
      </x:c>
      <x:c r="D2" s="22" t="str">
        <x:v>%</x:v>
      </x:c>
      <x:c r="E2" s="22" t="str">
        <x:v>(max(Seff)-min(Seff))/mean(Seff)*100</x:v>
      </x:c>
      <x:c r="F2" s="22" t="str"/>
      <x:c r="G2" s="22" t="str">
        <x:v>calculated</x:v>
      </x:c>
      <x:c r="H2" s="22" t="str">
        <x:v>PASS</x:v>
      </x:c>
      <x:c r="I2" s="22" t="str"/>
    </x:row>
    <x:row r="3" ht="15" hidden="0" customHeight="1">
      <x:c r="A3" s="22" t="str">
        <x:v>phase_current_zero_mismatch_code</x:v>
      </x:c>
      <x:c r="B3" s="22" t="str">
        <x:v>Phase-current zero-code mismatch</x:v>
      </x:c>
      <x:c r="C3" s="22" t="n">
        <x:v>2.0275199999996403</x:v>
      </x:c>
      <x:c r="D3" s="22" t="str">
        <x:v>code</x:v>
      </x:c>
      <x:c r="E3" s="22" t="str">
        <x:v>max(Nzero)-min(Nzero)</x:v>
      </x:c>
      <x:c r="F3" s="22" t="str"/>
      <x:c r="G3" s="22" t="str">
        <x:v>calculated</x:v>
      </x:c>
      <x:c r="H3" s="22" t="str">
        <x:v>PASS</x:v>
      </x:c>
      <x:c r="I3" s="22" t="str"/>
    </x:row>
    <x:row r="4" ht="26.399999618530273" hidden="0" customHeight="1">
      <x:c r="A4" s="22" t="str">
        <x:v>phase_voltage_gain_mismatch_percent</x:v>
      </x:c>
      <x:c r="B4" s="22" t="str">
        <x:v>Phase-voltage divider-ratio mismatch</x:v>
      </x:c>
      <x:c r="C4" s="22" t="n">
        <x:v>0.06049515283266774</x:v>
      </x:c>
      <x:c r="D4" s="22" t="str">
        <x:v>%</x:v>
      </x:c>
      <x:c r="E4" s="22" t="str">
        <x:v>(max(Kdiv)-min(Kdiv))/mean(Kdiv)*100</x:v>
      </x:c>
      <x:c r="F4" s="22" t="str"/>
      <x:c r="G4" s="22" t="str">
        <x:v>calculated</x:v>
      </x:c>
      <x:c r="H4" s="22" t="str">
        <x:v>PASS</x:v>
      </x:c>
      <x:c r="I4" s="22" t="str"/>
    </x:row>
    <x:row r="5" ht="26.399999618530273" hidden="0" customHeight="1">
      <x:c r="A5" s="22" t="str">
        <x:v>phase_current_gain_mismatch_limit_percent</x:v>
      </x:c>
      <x:c r="B5" s="22" t="str">
        <x:v>Allowed current-channel gain mismatch</x:v>
      </x:c>
      <x:c r="C5" s="22" t="n">
        <x:v>0.2</x:v>
      </x:c>
      <x:c r="D5" s="22" t="str">
        <x:v>%</x:v>
      </x:c>
      <x:c r="E5" s="22" t="str"/>
      <x:c r="F5" s="22" t="str"/>
      <x:c r="G5" s="22" t="str">
        <x:v>configuration</x:v>
      </x:c>
      <x:c r="H5" s="22" t="str">
        <x:v>PASS</x:v>
      </x:c>
      <x:c r="I5" s="22" t="str"/>
    </x:row>
    <x:row r="6" ht="26.399999618530273" hidden="0" customHeight="1">
      <x:c r="A6" s="22" t="str">
        <x:v>phase_voltage_gain_mismatch_limit_percent</x:v>
      </x:c>
      <x:c r="B6" s="22" t="str">
        <x:v>Allowed voltage-channel gain mismatch</x:v>
      </x:c>
      <x:c r="C6" s="22" t="n">
        <x:v>0.2</x:v>
      </x:c>
      <x:c r="D6" s="22" t="str">
        <x:v>%</x:v>
      </x:c>
      <x:c r="E6" s="22" t="str"/>
      <x:c r="F6" s="22" t="str"/>
      <x:c r="G6" s="22" t="str">
        <x:v>configuration</x:v>
      </x:c>
      <x:c r="H6" s="22" t="str">
        <x:v>PASS</x:v>
      </x:c>
      <x:c r="I6" s="22" t="str"/>
    </x:row>
  </x:sheetData>
  <x:conditionalFormatting sqref="H2:H6">
    <x:cfRule type="expression" dxfId="60" priority="1">
      <x:formula>H2="PASS"</x:formula>
    </x:cfRule>
    <x:cfRule type="expression" dxfId="61" priority="2">
      <x:formula>H2="WARNING"</x:formula>
    </x:cfRule>
    <x:cfRule type="expression" dxfId="62" priority="3">
      <x:formula>H2="FAIL"</x:formula>
    </x:cfRule>
    <x:cfRule type="expression" dxfId="63" priority="4">
      <x:formula>H2="NOT_EVALUATED"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26d676fb0a645d5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12" t="str">
        <x:v>Key</x:v>
      </x:c>
      <x:c r="B1" s="12" t="str">
        <x:v>Metric</x:v>
      </x:c>
      <x:c r="C1" s="12" t="str">
        <x:v>Value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15" hidden="0" customHeight="1">
      <x:c r="A2" s="22" t="str">
        <x:v>trigger_source</x:v>
      </x:c>
      <x:c r="B2" s="22" t="str">
        <x:v>Common sampling trigger source</x:v>
      </x:c>
      <x:c r="C2" s="22" t="str">
        <x:v>EPWM1_SOCA</x:v>
      </x:c>
      <x:c r="D2" s="22" t="str"/>
      <x:c r="E2" s="22" t="str"/>
      <x:c r="F2" s="22" t="str"/>
      <x:c r="G2" s="22" t="str">
        <x:v>configuration</x:v>
      </x:c>
      <x:c r="H2" s="22" t="str">
        <x:v>PASS</x:v>
      </x:c>
      <x:c r="I2" s="22" t="str"/>
    </x:row>
    <x:row r="3" ht="15" hidden="0" customHeight="1">
      <x:c r="A3" s="22" t="str">
        <x:v>trigger_position</x:v>
      </x:c>
      <x:c r="B3" s="22" t="str">
        <x:v>PWM trigger position</x:v>
      </x:c>
      <x:c r="C3" s="22" t="str">
        <x:v>PWM_CENTER</x:v>
      </x:c>
      <x:c r="D3" s="22" t="str"/>
      <x:c r="E3" s="22" t="str"/>
      <x:c r="F3" s="22" t="str"/>
      <x:c r="G3" s="22" t="str">
        <x:v>configuration</x:v>
      </x:c>
      <x:c r="H3" s="22" t="str">
        <x:v>PASS</x:v>
      </x:c>
      <x:c r="I3" s="22" t="str"/>
    </x:row>
    <x:row r="4" ht="15" hidden="0" customHeight="1">
      <x:c r="A4" s="22" t="str">
        <x:v>simultaneous_required</x:v>
      </x:c>
      <x:c r="B4" s="22" t="str">
        <x:v>Simultaneous sampling required</x:v>
      </x:c>
      <x:c r="C4" s="28" t="b">
        <x:v>1</x:v>
      </x:c>
      <x:c r="D4" s="22" t="str"/>
      <x:c r="E4" s="22" t="str"/>
      <x:c r="F4" s="22" t="str"/>
      <x:c r="G4" s="22" t="str">
        <x:v>configuration</x:v>
      </x:c>
      <x:c r="H4" s="22" t="str">
        <x:v>PASS</x:v>
      </x:c>
      <x:c r="I4" s="22" t="str"/>
    </x:row>
    <x:row r="5" ht="15" hidden="0" customHeight="1">
      <x:c r="A5" s="22" t="str">
        <x:v>configured_channel_count</x:v>
      </x:c>
      <x:c r="B5" s="22" t="str">
        <x:v>Configured synchronous channels</x:v>
      </x:c>
      <x:c r="C5" s="22" t="n">
        <x:v>6</x:v>
      </x:c>
      <x:c r="D5" s="22" t="str">
        <x:v>channel</x:v>
      </x:c>
      <x:c r="E5" s="22" t="str"/>
      <x:c r="F5" s="22" t="str"/>
      <x:c r="G5" s="22" t="str">
        <x:v>calculated</x:v>
      </x:c>
      <x:c r="H5" s="22" t="str">
        <x:v>PASS</x:v>
      </x:c>
      <x:c r="I5" s="22" t="str"/>
    </x:row>
    <x:row r="6" ht="15" hidden="0" customHeight="1">
      <x:c r="A6" s="22" t="str">
        <x:v>trigger_source_count</x:v>
      </x:c>
      <x:c r="B6" s="22" t="str">
        <x:v>Distinct trigger-source count</x:v>
      </x:c>
      <x:c r="C6" s="22" t="n">
        <x:v>1</x:v>
      </x:c>
      <x:c r="D6" s="22" t="str">
        <x:v>source</x:v>
      </x:c>
      <x:c r="E6" s="22" t="str"/>
      <x:c r="F6" s="22" t="str"/>
      <x:c r="G6" s="22" t="str">
        <x:v>calculated</x:v>
      </x:c>
      <x:c r="H6" s="22" t="str">
        <x:v>PASS</x:v>
      </x:c>
      <x:c r="I6" s="22" t="str"/>
    </x:row>
    <x:row r="7" ht="15" hidden="0" customHeight="1">
      <x:c r="A7" s="22" t="str">
        <x:v>current_adc_module_count</x:v>
      </x:c>
      <x:c r="B7" s="22" t="str">
        <x:v>Distinct ADC modules for phase currents</x:v>
      </x:c>
      <x:c r="C7" s="22" t="n">
        <x:v>3</x:v>
      </x:c>
      <x:c r="D7" s="22" t="str">
        <x:v>module</x:v>
      </x:c>
      <x:c r="E7" s="22" t="str"/>
      <x:c r="F7" s="22" t="str"/>
      <x:c r="G7" s="22" t="str">
        <x:v>calculated</x:v>
      </x:c>
      <x:c r="H7" s="22" t="str">
        <x:v>PASS</x:v>
      </x:c>
      <x:c r="I7" s="22" t="str"/>
    </x:row>
    <x:row r="8" ht="15" hidden="0" customHeight="1">
      <x:c r="A8" s="22" t="str">
        <x:v>assignment_IAC_A</x:v>
      </x:c>
      <x:c r="B8" s="22" t="str">
        <x:v>IAC_A assignment</x:v>
      </x:c>
      <x:c r="C8" s="22" t="str">
        <x:v>ADCA/SOC0</x:v>
      </x:c>
      <x:c r="D8" s="22" t="str"/>
      <x:c r="E8" s="22" t="str"/>
      <x:c r="F8" s="22" t="str"/>
      <x:c r="G8" s="22" t="str">
        <x:v>configuration</x:v>
      </x:c>
      <x:c r="H8" s="22" t="str">
        <x:v>PASS</x:v>
      </x:c>
      <x:c r="I8" s="22" t="str">
        <x:v>aperture_delay_s=0.0</x:v>
      </x:c>
    </x:row>
    <x:row r="9" ht="15" hidden="0" customHeight="1">
      <x:c r="A9" s="22" t="str">
        <x:v>assignment_IAC_B</x:v>
      </x:c>
      <x:c r="B9" s="22" t="str">
        <x:v>IAC_B assignment</x:v>
      </x:c>
      <x:c r="C9" s="22" t="str">
        <x:v>ADCB/SOC0</x:v>
      </x:c>
      <x:c r="D9" s="22" t="str"/>
      <x:c r="E9" s="22" t="str"/>
      <x:c r="F9" s="22" t="str"/>
      <x:c r="G9" s="22" t="str">
        <x:v>configuration</x:v>
      </x:c>
      <x:c r="H9" s="22" t="str">
        <x:v>PASS</x:v>
      </x:c>
      <x:c r="I9" s="22" t="str">
        <x:v>aperture_delay_s=0.0</x:v>
      </x:c>
    </x:row>
    <x:row r="10" ht="15" hidden="0" customHeight="1">
      <x:c r="A10" s="22" t="str">
        <x:v>assignment_IAC_C</x:v>
      </x:c>
      <x:c r="B10" s="22" t="str">
        <x:v>IAC_C assignment</x:v>
      </x:c>
      <x:c r="C10" s="22" t="str">
        <x:v>ADCC/SOC0</x:v>
      </x:c>
      <x:c r="D10" s="22" t="str"/>
      <x:c r="E10" s="22" t="str"/>
      <x:c r="F10" s="22" t="str"/>
      <x:c r="G10" s="22" t="str">
        <x:v>configuration</x:v>
      </x:c>
      <x:c r="H10" s="22" t="str">
        <x:v>PASS</x:v>
      </x:c>
      <x:c r="I10" s="22" t="str">
        <x:v>aperture_delay_s=0.0</x:v>
      </x:c>
    </x:row>
    <x:row r="11" ht="15" hidden="0" customHeight="1">
      <x:c r="A11" s="22" t="str">
        <x:v>assignment_VAC_A</x:v>
      </x:c>
      <x:c r="B11" s="22" t="str">
        <x:v>VAC_A assignment</x:v>
      </x:c>
      <x:c r="C11" s="22" t="str">
        <x:v>ADCD/SOC0</x:v>
      </x:c>
      <x:c r="D11" s="22" t="str"/>
      <x:c r="E11" s="22" t="str"/>
      <x:c r="F11" s="22" t="str"/>
      <x:c r="G11" s="22" t="str">
        <x:v>configuration</x:v>
      </x:c>
      <x:c r="H11" s="22" t="str">
        <x:v>PASS</x:v>
      </x:c>
      <x:c r="I11" s="22" t="str">
        <x:v>aperture_delay_s=0.0</x:v>
      </x:c>
    </x:row>
    <x:row r="12" ht="15" hidden="0" customHeight="1">
      <x:c r="A12" s="22" t="str">
        <x:v>assignment_VAC_B</x:v>
      </x:c>
      <x:c r="B12" s="22" t="str">
        <x:v>VAC_B assignment</x:v>
      </x:c>
      <x:c r="C12" s="22" t="str">
        <x:v>ADCE/SOC0</x:v>
      </x:c>
      <x:c r="D12" s="22" t="str"/>
      <x:c r="E12" s="22" t="str"/>
      <x:c r="F12" s="22" t="str"/>
      <x:c r="G12" s="22" t="str">
        <x:v>configuration</x:v>
      </x:c>
      <x:c r="H12" s="22" t="str">
        <x:v>PASS</x:v>
      </x:c>
      <x:c r="I12" s="22" t="str">
        <x:v>aperture_delay_s=0.0</x:v>
      </x:c>
    </x:row>
    <x:row r="13" ht="15" hidden="0" customHeight="1">
      <x:c r="A13" s="22" t="str">
        <x:v>assignment_VAC_C</x:v>
      </x:c>
      <x:c r="B13" s="22" t="str">
        <x:v>VAC_C assignment</x:v>
      </x:c>
      <x:c r="C13" s="22" t="str">
        <x:v>ADCD/SOC1</x:v>
      </x:c>
      <x:c r="D13" s="22" t="str"/>
      <x:c r="E13" s="22" t="str"/>
      <x:c r="F13" s="22" t="str"/>
      <x:c r="G13" s="22" t="str">
        <x:v>configuration</x:v>
      </x:c>
      <x:c r="H13" s="22" t="str">
        <x:v>PASS</x:v>
      </x:c>
      <x:c r="I13" s="22" t="str">
        <x:v>aperture_delay_s=6e-08</x:v>
      </x:c>
    </x:row>
    <x:row r="14" ht="15" hidden="0" customHeight="1">
      <x:c r="A14" s="22" t="str">
        <x:v>maximum_channel_skew_s</x:v>
      </x:c>
      <x:c r="B14" s="22" t="str">
        <x:v>Maximum sample-aperture skew</x:v>
      </x:c>
      <x:c r="C14" s="22" t="n">
        <x:v>6e-8</x:v>
      </x:c>
      <x:c r="D14" s="22" t="str">
        <x:v>s</x:v>
      </x:c>
      <x:c r="E14" s="22" t="str">
        <x:v>max(t_aperture)-min(t_aperture)</x:v>
      </x:c>
      <x:c r="F14" s="22" t="str"/>
      <x:c r="G14" s="22" t="str">
        <x:v>calculated</x:v>
      </x:c>
      <x:c r="H14" s="22" t="str">
        <x:v>PASS</x:v>
      </x:c>
      <x:c r="I14" s="22" t="str"/>
    </x:row>
    <x:row r="15" ht="15" hidden="0" customHeight="1">
      <x:c r="A15" s="22" t="str">
        <x:v>maximum_channel_skew_limit_s</x:v>
      </x:c>
      <x:c r="B15" s="22" t="str">
        <x:v>Allowed sample-aperture skew</x:v>
      </x:c>
      <x:c r="C15" s="22" t="n">
        <x:v>1e-7</x:v>
      </x:c>
      <x:c r="D15" s="22" t="str">
        <x:v>s</x:v>
      </x:c>
      <x:c r="E15" s="22" t="str"/>
      <x:c r="F15" s="22" t="str"/>
      <x:c r="G15" s="22" t="str">
        <x:v>configuration</x:v>
      </x:c>
      <x:c r="H15" s="22" t="str">
        <x:v>PASS</x:v>
      </x:c>
      <x:c r="I15" s="22" t="str"/>
    </x:row>
    <x:row r="16" ht="26.399999618530273" hidden="0" customHeight="1">
      <x:c r="A16" s="22" t="str">
        <x:v>line_frequency_angle_skew_deg</x:v>
      </x:c>
      <x:c r="B16" s="22" t="str">
        <x:v>Equivalent electrical-angle skew at line frequency</x:v>
      </x:c>
      <x:c r="C16" s="22" t="n">
        <x:v>0.0010799999999999998</x:v>
      </x:c>
      <x:c r="D16" s="22" t="str">
        <x:v>deg</x:v>
      </x:c>
      <x:c r="E16" s="22" t="str">
        <x:v>360*fline*DeltaT</x:v>
      </x:c>
      <x:c r="F16" s="22" t="str"/>
      <x:c r="G16" s="22" t="str">
        <x:v>calculated</x:v>
      </x:c>
      <x:c r="H16" s="22" t="str">
        <x:v>PASS</x:v>
      </x:c>
      <x:c r="I16" s="22" t="str"/>
    </x:row>
    <x:row r="17" ht="26.399999618530273" hidden="0" customHeight="1">
      <x:c r="A17" s="22" t="str">
        <x:v>switching_frequency_angle_skew_deg</x:v>
      </x:c>
      <x:c r="B17" s="22" t="str">
        <x:v>Equivalent angle skew at switching frequency</x:v>
      </x:c>
      <x:c r="C17" s="22" t="n">
        <x:v>2.1599999999999997</x:v>
      </x:c>
      <x:c r="D17" s="22" t="str">
        <x:v>deg</x:v>
      </x:c>
      <x:c r="E17" s="22" t="str">
        <x:v>360*fsw*DeltaT</x:v>
      </x:c>
      <x:c r="F17" s="22" t="str"/>
      <x:c r="G17" s="22" t="str">
        <x:v>calculated</x:v>
      </x:c>
      <x:c r="H17" s="22" t="str">
        <x:v>PASS</x:v>
      </x:c>
      <x:c r="I17" s="22" t="str"/>
    </x:row>
    <x:row r="18" ht="26.399999618530273" hidden="0" customHeight="1">
      <x:c r="A18" s="22" t="str">
        <x:v>current_skew_error_a</x:v>
      </x:c>
      <x:c r="B18" s="22" t="str">
        <x:v>Worst-case current mismatch caused by skew</x:v>
      </x:c>
      <x:c r="C18" s="22" t="n">
        <x:v>0.12</x:v>
      </x:c>
      <x:c r="D18" s="22" t="str">
        <x:v>A</x:v>
      </x:c>
      <x:c r="E18" s="22" t="str">
        <x:v>max(di/dt)*DeltaT</x:v>
      </x:c>
      <x:c r="F18" s="22" t="str"/>
      <x:c r="G18" s="22" t="str">
        <x:v>calculated</x:v>
      </x:c>
      <x:c r="H18" s="22" t="str">
        <x:v>PASS</x:v>
      </x:c>
      <x:c r="I18" s="22" t="str"/>
    </x:row>
    <x:row r="19" ht="26.399999618530273" hidden="0" customHeight="1">
      <x:c r="A19" s="22" t="str">
        <x:v>current_skew_error_percent_fs</x:v>
      </x:c>
      <x:c r="B19" s="22" t="str">
        <x:v>Current skew error relative to phase design peak</x:v>
      </x:c>
      <x:c r="C19" s="22" t="n">
        <x:v>0.13780765669787953</x:v>
      </x:c>
      <x:c r="D19" s="22" t="str">
        <x:v>%FS</x:v>
      </x:c>
      <x:c r="E19" s="22" t="str">
        <x:v>DeltaI/Iphase_design*100</x:v>
      </x:c>
      <x:c r="F19" s="22" t="str"/>
      <x:c r="G19" s="22" t="str">
        <x:v>calculated</x:v>
      </x:c>
      <x:c r="H19" s="22" t="str">
        <x:v>PASS</x:v>
      </x:c>
      <x:c r="I19" s="22" t="str"/>
    </x:row>
    <x:row r="20" ht="26.399999618530273" hidden="0" customHeight="1">
      <x:c r="A20" s="22" t="str">
        <x:v>voltage_skew_error_v</x:v>
      </x:c>
      <x:c r="B20" s="22" t="str">
        <x:v>Worst-case voltage mismatch caused by skew</x:v>
      </x:c>
      <x:c r="C20" s="22" t="n">
        <x:v>0.011999999999999999</x:v>
      </x:c>
      <x:c r="D20" s="22" t="str">
        <x:v>V</x:v>
      </x:c>
      <x:c r="E20" s="22" t="str">
        <x:v>max(dv/dt)*DeltaT</x:v>
      </x:c>
      <x:c r="F20" s="22" t="str"/>
      <x:c r="G20" s="22" t="str">
        <x:v>calculated</x:v>
      </x:c>
      <x:c r="H20" s="22" t="str">
        <x:v>PASS</x:v>
      </x:c>
      <x:c r="I20" s="22" t="str"/>
    </x:row>
  </x:sheetData>
  <x:conditionalFormatting sqref="H2:H20">
    <x:cfRule type="expression" dxfId="64" priority="1">
      <x:formula>H2="PASS"</x:formula>
    </x:cfRule>
    <x:cfRule type="expression" dxfId="65" priority="2">
      <x:formula>H2="WARNING"</x:formula>
    </x:cfRule>
    <x:cfRule type="expression" dxfId="66" priority="3">
      <x:formula>H2="FAIL"</x:formula>
    </x:cfRule>
    <x:cfRule type="expression" dxfId="67" priority="4">
      <x:formula>H2="NOT_EVALUATED"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8a9ab6215b648f9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12" t="str">
        <x:v>Key</x:v>
      </x:c>
      <x:c r="B1" s="12" t="str">
        <x:v>Metric</x:v>
      </x:c>
      <x:c r="C1" s="12" t="str">
        <x:v>Value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15" hidden="0" customHeight="1">
      <x:c r="A2" s="22" t="str">
        <x:v>actual_shunt_ohm</x:v>
      </x:c>
      <x:c r="B2" s="22" t="str">
        <x:v>Configured shunt resistance</x:v>
      </x:c>
      <x:c r="C2" s="22" t="n">
        <x:v>0.0005</x:v>
      </x:c>
      <x:c r="D2" s="22" t="str">
        <x:v>ohm</x:v>
      </x:c>
      <x:c r="E2" s="22" t="str"/>
      <x:c r="F2" s="22" t="str"/>
      <x:c r="G2" s="22" t="str">
        <x:v>calculated</x:v>
      </x:c>
      <x:c r="H2" s="22" t="str">
        <x:v>PASS</x:v>
      </x:c>
      <x:c r="I2" s="22" t="str"/>
    </x:row>
    <x:row r="3" ht="15" hidden="0" customHeight="1">
      <x:c r="A3" s="22" t="str">
        <x:v>max_shunt_adc_ohm</x:v>
      </x:c>
      <x:c r="B3" s="22" t="str">
        <x:v>Maximum shunt from ADC swing</x:v>
      </x:c>
      <x:c r="C3" s="22" t="n">
        <x:v>0.0006270087235996327</x:v>
      </x:c>
      <x:c r="D3" s="22" t="str">
        <x:v>ohm</x:v>
      </x:c>
      <x:c r="E3" s="22" t="str"/>
      <x:c r="F3" s="22" t="str"/>
      <x:c r="G3" s="22" t="str">
        <x:v>calculated</x:v>
      </x:c>
      <x:c r="H3" s="22" t="str">
        <x:v>PASS</x:v>
      </x:c>
      <x:c r="I3" s="22" t="str"/>
    </x:row>
    <x:row r="4" ht="15" hidden="0" customHeight="1">
      <x:c r="A4" s="22" t="str">
        <x:v>max_shunt_input_ohm</x:v>
      </x:c>
      <x:c r="B4" s="22" t="str">
        <x:v>Maximum shunt from amplifier input</x:v>
      </x:c>
      <x:c r="C4" s="22" t="n">
        <x:v>0.0007196969696969697</x:v>
      </x:c>
      <x:c r="D4" s="22" t="str">
        <x:v>ohm</x:v>
      </x:c>
      <x:c r="E4" s="22" t="str"/>
      <x:c r="F4" s="22" t="str"/>
      <x:c r="G4" s="22" t="str">
        <x:v>calculated</x:v>
      </x:c>
      <x:c r="H4" s="22" t="str">
        <x:v>PASS</x:v>
      </x:c>
      <x:c r="I4" s="22" t="str"/>
    </x:row>
    <x:row r="5" ht="15" hidden="0" customHeight="1">
      <x:c r="A5" s="22" t="str">
        <x:v>recommended_shunt_max_ohm</x:v>
      </x:c>
      <x:c r="B5" s="22" t="str">
        <x:v>Recommended maximum shunt</x:v>
      </x:c>
      <x:c r="C5" s="22" t="n">
        <x:v>0.0006270087235996327</x:v>
      </x:c>
      <x:c r="D5" s="22" t="str">
        <x:v>ohm</x:v>
      </x:c>
      <x:c r="E5" s="22" t="str">
        <x:v>min(R_adc,R_input)</x:v>
      </x:c>
      <x:c r="F5" s="22" t="str"/>
      <x:c r="G5" s="22" t="str">
        <x:v>calculated</x:v>
      </x:c>
      <x:c r="H5" s="22" t="str">
        <x:v>PASS</x:v>
      </x:c>
      <x:c r="I5" s="22" t="str"/>
    </x:row>
    <x:row r="6" ht="15" hidden="0" customHeight="1">
      <x:c r="A6" s="22" t="str">
        <x:v>effective_sensitivity_v_per_a</x:v>
      </x:c>
      <x:c r="B6" s="22" t="str">
        <x:v>Effective ADC sensitivity</x:v>
      </x:c>
      <x:c r="C6" s="22" t="n">
        <x:v>0.016499999999999997</x:v>
      </x:c>
      <x:c r="D6" s="22" t="str">
        <x:v>V/A</x:v>
      </x:c>
      <x:c r="E6" s="22" t="str">
        <x:v>Rshunt*Vref/(2*Vclip)</x:v>
      </x:c>
      <x:c r="F6" s="22" t="str"/>
      <x:c r="G6" s="22" t="str">
        <x:v>calculated</x:v>
      </x:c>
      <x:c r="H6" s="22" t="str">
        <x:v>PASS</x:v>
      </x:c>
      <x:c r="I6" s="22" t="str"/>
    </x:row>
    <x:row r="7" ht="15" hidden="0" customHeight="1">
      <x:c r="A7" s="22" t="str">
        <x:v>zero_adc_v</x:v>
      </x:c>
      <x:c r="B7" s="22" t="str">
        <x:v>Zero-current ADC voltage</x:v>
      </x:c>
      <x:c r="C7" s="22" t="n">
        <x:v>1.65</x:v>
      </x:c>
      <x:c r="D7" s="22" t="str">
        <x:v>V</x:v>
      </x:c>
      <x:c r="E7" s="22" t="str"/>
      <x:c r="F7" s="22" t="str"/>
      <x:c r="G7" s="22" t="str">
        <x:v>calculated</x:v>
      </x:c>
      <x:c r="H7" s="22" t="str">
        <x:v>PASS</x:v>
      </x:c>
      <x:c r="I7" s="22" t="str"/>
    </x:row>
    <x:row r="8" ht="15" hidden="0" customHeight="1">
      <x:c r="A8" s="22" t="str">
        <x:v>adc_min_v</x:v>
      </x:c>
      <x:c r="B8" s="22" t="str">
        <x:v>ADC voltage at negative design current</x:v>
      </x:c>
      <x:c r="C8" s="22" t="n">
        <x:v>0.7329473684210526</x:v>
      </x:c>
      <x:c r="D8" s="22" t="str">
        <x:v>V</x:v>
      </x:c>
      <x:c r="E8" s="22" t="str"/>
      <x:c r="F8" s="22" t="str"/>
      <x:c r="G8" s="22" t="str">
        <x:v>calculated</x:v>
      </x:c>
      <x:c r="H8" s="22" t="str">
        <x:v>PASS</x:v>
      </x:c>
      <x:c r="I8" s="22" t="str"/>
    </x:row>
    <x:row r="9" ht="15" hidden="0" customHeight="1">
      <x:c r="A9" s="22" t="str">
        <x:v>adc_max_v</x:v>
      </x:c>
      <x:c r="B9" s="22" t="str">
        <x:v>ADC voltage at positive design current</x:v>
      </x:c>
      <x:c r="C9" s="22" t="n">
        <x:v>2.5670526315789473</x:v>
      </x:c>
      <x:c r="D9" s="22" t="str">
        <x:v>V</x:v>
      </x:c>
      <x:c r="E9" s="22" t="str"/>
      <x:c r="F9" s="22" t="str"/>
      <x:c r="G9" s="22" t="str">
        <x:v>calculated</x:v>
      </x:c>
      <x:c r="H9" s="22" t="str">
        <x:v>PASS</x:v>
      </x:c>
      <x:c r="I9" s="22" t="str"/>
    </x:row>
    <x:row r="10" ht="15" hidden="0" customHeight="1">
      <x:c r="A10" s="22" t="str">
        <x:v>current_per_code_a</x:v>
      </x:c>
      <x:c r="B10" s="22" t="str">
        <x:v>Current resolution</x:v>
      </x:c>
      <x:c r="C10" s="22" t="n">
        <x:v>0.04438920454545455</x:v>
      </x:c>
      <x:c r="D10" s="22" t="str">
        <x:v>A/code</x:v>
      </x:c>
      <x:c r="E10" s="22" t="str">
        <x:v>Vlsb/Seff</x:v>
      </x:c>
      <x:c r="F10" s="22" t="str"/>
      <x:c r="G10" s="22" t="str">
        <x:v>calculated</x:v>
      </x:c>
      <x:c r="H10" s="22" t="str">
        <x:v>PASS</x:v>
      </x:c>
      <x:c r="I10" s="22" t="str"/>
    </x:row>
    <x:row r="11" ht="15" hidden="0" customHeight="1">
      <x:c r="A11" s="22" t="str">
        <x:v>adc_utilization</x:v>
      </x:c>
      <x:c r="B11" s="22" t="str">
        <x:v>ADC span utilization</x:v>
      </x:c>
      <x:c r="C11" s="22" t="n">
        <x:v>0.6113684210526316</x:v>
      </x:c>
      <x:c r="D11" s="22" t="str">
        <x:v>pu</x:v>
      </x:c>
      <x:c r="E11" s="22" t="str"/>
      <x:c r="F11" s="22" t="str"/>
      <x:c r="G11" s="22" t="str">
        <x:v>calculated</x:v>
      </x:c>
      <x:c r="H11" s="22" t="str">
        <x:v>PASS</x:v>
      </x:c>
      <x:c r="I11" s="22" t="str"/>
    </x:row>
    <x:row r="12" ht="15" hidden="0" customHeight="1">
      <x:c r="A12" s="22" t="str">
        <x:v>continuous_shunt_power_w</x:v>
      </x:c>
      <x:c r="B12" s="22" t="str">
        <x:v>Continuous shunt loss</x:v>
      </x:c>
      <x:c r="C12" s="22" t="n">
        <x:v>0.8864265927977841</x:v>
      </x:c>
      <x:c r="D12" s="22" t="str">
        <x:v>W</x:v>
      </x:c>
      <x:c r="E12" s="22" t="str">
        <x:v>Irms^2*R</x:v>
      </x:c>
      <x:c r="F12" s="22" t="str"/>
      <x:c r="G12" s="22" t="str">
        <x:v>calculated</x:v>
      </x:c>
      <x:c r="H12" s="22" t="str">
        <x:v>PASS</x:v>
      </x:c>
      <x:c r="I12" s="22" t="str"/>
    </x:row>
    <x:row r="13" ht="15" hidden="0" customHeight="1">
      <x:c r="A13" s="22" t="str">
        <x:v>peak_shunt_power_w</x:v>
      </x:c>
      <x:c r="B13" s="22" t="str">
        <x:v>Peak shunt loss</x:v>
      </x:c>
      <x:c r="C13" s="22" t="n">
        <x:v>1.5445096952908595</x:v>
      </x:c>
      <x:c r="D13" s="22" t="str">
        <x:v>W</x:v>
      </x:c>
      <x:c r="E13" s="22" t="str">
        <x:v>Ipeak^2*R</x:v>
      </x:c>
      <x:c r="F13" s="22" t="str"/>
      <x:c r="G13" s="22" t="str">
        <x:v>calculated</x:v>
      </x:c>
      <x:c r="H13" s="22" t="str">
        <x:v>PASS</x:v>
      </x:c>
      <x:c r="I13" s="22" t="str"/>
    </x:row>
    <x:row r="14" ht="39.599998474121094" hidden="0" customHeight="1">
      <x:c r="A14" s="22" t="str">
        <x:v>equivalent_offset_current_a</x:v>
      </x:c>
      <x:c r="B14" s="22" t="str">
        <x:v>Equivalent input offset current</x:v>
      </x:c>
      <x:c r="C14" s="22"/>
      <x:c r="D14" s="22" t="str">
        <x:v>A</x:v>
      </x:c>
      <x:c r="E14" s="22" t="str">
        <x:v>Vos/Rshunt</x:v>
      </x:c>
      <x:c r="F14" s="22" t="str"/>
      <x:c r="G14" s="22" t="str">
        <x:v>missing input</x:v>
      </x:c>
      <x:c r="H14" s="22" t="str">
        <x:v>NOT_EVALUATED</x:v>
      </x:c>
      <x:c r="I14" s="22" t="str">
        <x:v>Enter channels.idc.amplifier.input_offset_v.</x:v>
      </x:c>
    </x:row>
  </x:sheetData>
  <x:conditionalFormatting sqref="H2:H14">
    <x:cfRule type="expression" dxfId="68" priority="1">
      <x:formula>H2="PASS"</x:formula>
    </x:cfRule>
    <x:cfRule type="expression" dxfId="69" priority="2">
      <x:formula>H2="WARNING"</x:formula>
    </x:cfRule>
    <x:cfRule type="expression" dxfId="70" priority="3">
      <x:formula>H2="FAIL"</x:formula>
    </x:cfRule>
    <x:cfRule type="expression" dxfId="71" priority="4">
      <x:formula>H2="NOT_EVALUATED"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2e73c01e2284cf0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12" t="str">
        <x:v>Key</x:v>
      </x:c>
      <x:c r="B1" s="12" t="str">
        <x:v>Metric</x:v>
      </x:c>
      <x:c r="C1" s="12" t="str">
        <x:v>Value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15" hidden="0" customHeight="1">
      <x:c r="A2" s="22" t="str">
        <x:v>vdc_design_max_v</x:v>
      </x:c>
      <x:c r="B2" s="22" t="str">
        <x:v>VDC design maximum including margin</x:v>
      </x:c>
      <x:c r="C2" s="22" t="n">
        <x:v>977.4999999999999</x:v>
      </x:c>
      <x:c r="D2" s="22" t="str">
        <x:v>V</x:v>
      </x:c>
      <x:c r="E2" s="22" t="str">
        <x:v>Vdc_max*Kmargin</x:v>
      </x:c>
      <x:c r="F2" s="22" t="str"/>
      <x:c r="G2" s="22" t="str">
        <x:v>calculated</x:v>
      </x:c>
      <x:c r="H2" s="22" t="str">
        <x:v>PASS</x:v>
      </x:c>
      <x:c r="I2" s="22" t="str"/>
    </x:row>
    <x:row r="3" ht="15" hidden="0" customHeight="1">
      <x:c r="A3" s="22" t="str">
        <x:v>architecture</x:v>
      </x:c>
      <x:c r="B3" s="22" t="str">
        <x:v>Sensing architecture</x:v>
      </x:c>
      <x:c r="C3" s="22" t="str">
        <x:v>divider</x:v>
      </x:c>
      <x:c r="D3" s="22" t="str"/>
      <x:c r="E3" s="22" t="str"/>
      <x:c r="F3" s="22" t="str"/>
      <x:c r="G3" s="22" t="str">
        <x:v>calculated</x:v>
      </x:c>
      <x:c r="H3" s="22" t="str">
        <x:v>PASS</x:v>
      </x:c>
      <x:c r="I3" s="22" t="str"/>
    </x:row>
    <x:row r="4" ht="15" hidden="0" customHeight="1">
      <x:c r="A4" s="22" t="str">
        <x:v>required_high_side_ohm</x:v>
      </x:c>
      <x:c r="B4" s="22" t="str">
        <x:v>Required high-side resistance</x:v>
      </x:c>
      <x:c r="C4" s="22" t="n">
        <x:v>3610370.3703703694</x:v>
      </x:c>
      <x:c r="D4" s="22" t="str">
        <x:v>ohm</x:v>
      </x:c>
      <x:c r="E4" s="22" t="str"/>
      <x:c r="F4" s="22" t="str"/>
      <x:c r="G4" s="22" t="str">
        <x:v>calculated</x:v>
      </x:c>
      <x:c r="H4" s="22" t="str">
        <x:v>PASS</x:v>
      </x:c>
      <x:c r="I4" s="22" t="str"/>
    </x:row>
    <x:row r="5" ht="15" hidden="0" customHeight="1">
      <x:c r="A5" s="22" t="str">
        <x:v>divider_ratio</x:v>
      </x:c>
      <x:c r="B5" s="22" t="str">
        <x:v>Required divider ratio</x:v>
      </x:c>
      <x:c r="C5" s="22" t="n">
        <x:v>0.0027621483375959086</x:v>
      </x:c>
      <x:c r="D5" s="22" t="str">
        <x:v>V/V</x:v>
      </x:c>
      <x:c r="E5" s="22" t="str"/>
      <x:c r="F5" s="22" t="str"/>
      <x:c r="G5" s="22" t="str">
        <x:v>calculated</x:v>
      </x:c>
      <x:c r="H5" s="22" t="str">
        <x:v>PASS</x:v>
      </x:c>
      <x:c r="I5" s="22" t="str"/>
    </x:row>
    <x:row r="6" ht="15" hidden="0" customHeight="1">
      <x:c r="A6" s="22" t="str">
        <x:v>vdc_per_code_v</x:v>
      </x:c>
      <x:c r="B6" s="22" t="str">
        <x:v>VDC resolution</x:v>
      </x:c>
      <x:c r="C6" s="22" t="n">
        <x:v>0.26516384548611105</x:v>
      </x:c>
      <x:c r="D6" s="22" t="str">
        <x:v>V/code</x:v>
      </x:c>
      <x:c r="E6" s="22" t="str"/>
      <x:c r="F6" s="22" t="str"/>
      <x:c r="G6" s="22" t="str">
        <x:v>calculated</x:v>
      </x:c>
      <x:c r="H6" s="22" t="str">
        <x:v>PASS</x:v>
      </x:c>
      <x:c r="I6" s="22" t="str"/>
    </x:row>
  </x:sheetData>
  <x:conditionalFormatting sqref="H2:H6">
    <x:cfRule type="expression" dxfId="72" priority="1">
      <x:formula>H2="PASS"</x:formula>
    </x:cfRule>
    <x:cfRule type="expression" dxfId="73" priority="2">
      <x:formula>H2="WARNING"</x:formula>
    </x:cfRule>
    <x:cfRule type="expression" dxfId="74" priority="3">
      <x:formula>H2="FAIL"</x:formula>
    </x:cfRule>
    <x:cfRule type="expression" dxfId="75" priority="4">
      <x:formula>H2="NOT_EVALUATED"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b9b9841f91f4466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12" t="str">
        <x:v>Key</x:v>
      </x:c>
      <x:c r="B1" s="12" t="str">
        <x:v>Metric</x:v>
      </x:c>
      <x:c r="C1" s="12" t="str">
        <x:v>Value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15" hidden="0" customHeight="1">
      <x:c r="A2" s="22" t="str">
        <x:v>rc_cutoff_hz</x:v>
      </x:c>
      <x:c r="B2" s="22" t="str">
        <x:v>RC cutoff frequency</x:v>
      </x:c>
      <x:c r="C2" s="22" t="n">
        <x:v>21922.16846995804</x:v>
      </x:c>
      <x:c r="D2" s="22" t="str">
        <x:v>Hz</x:v>
      </x:c>
      <x:c r="E2" s="22" t="str">
        <x:v>1/(2*pi*R*C)</x:v>
      </x:c>
      <x:c r="F2" s="22" t="str"/>
      <x:c r="G2" s="22" t="str">
        <x:v>calculated</x:v>
      </x:c>
      <x:c r="H2" s="22" t="str">
        <x:v>PASS</x:v>
      </x:c>
      <x:c r="I2" s="22" t="str"/>
    </x:row>
    <x:row r="3" ht="15" hidden="0" customHeight="1">
      <x:c r="A3" s="22" t="str">
        <x:v>effective_bandwidth_hz</x:v>
      </x:c>
      <x:c r="B3" s="22" t="str">
        <x:v>Effective analog bandwidth</x:v>
      </x:c>
      <x:c r="C3" s="22" t="n">
        <x:v>21922.16846995804</x:v>
      </x:c>
      <x:c r="D3" s="22" t="str">
        <x:v>Hz</x:v>
      </x:c>
      <x:c r="E3" s="22" t="str">
        <x:v>min(RC cutoff, sensor bandwidth)</x:v>
      </x:c>
      <x:c r="F3" s="22" t="str"/>
      <x:c r="G3" s="22" t="str">
        <x:v>calculated</x:v>
      </x:c>
      <x:c r="H3" s="22" t="str">
        <x:v>PASS</x:v>
      </x:c>
      <x:c r="I3" s="22" t="str"/>
    </x:row>
    <x:row r="4" ht="15" hidden="0" customHeight="1">
      <x:c r="A4" s="22" t="str">
        <x:v>required_bandwidth_hz</x:v>
      </x:c>
      <x:c r="B4" s="22" t="str">
        <x:v>Minimum required bandwidth</x:v>
      </x:c>
      <x:c r="C4" s="22" t="n">
        <x:v>7500</x:v>
      </x:c>
      <x:c r="D4" s="22" t="str">
        <x:v>Hz</x:v>
      </x:c>
      <x:c r="E4" s="22" t="str">
        <x:v>max(Kbw*floop, floop/tan(phi_budget))</x:v>
      </x:c>
      <x:c r="F4" s="22" t="str"/>
      <x:c r="G4" s="22" t="str">
        <x:v>calculated</x:v>
      </x:c>
      <x:c r="H4" s="22" t="str">
        <x:v>PASS</x:v>
      </x:c>
      <x:c r="I4" s="22" t="str"/>
    </x:row>
    <x:row r="5" ht="15" hidden="0" customHeight="1">
      <x:c r="A5" s="22" t="str">
        <x:v>loop_gain_ratio</x:v>
      </x:c>
      <x:c r="B5" s="22" t="str">
        <x:v>Magnitude at loop crossover</x:v>
      </x:c>
      <x:c r="C5" s="22" t="n">
        <x:v>0.9976672736559256</x:v>
      </x:c>
      <x:c r="D5" s="22" t="str">
        <x:v>pu</x:v>
      </x:c>
      <x:c r="E5" s="22" t="str">
        <x:v>1/sqrt(1+(floop/fc)^2)</x:v>
      </x:c>
      <x:c r="F5" s="22" t="str"/>
      <x:c r="G5" s="22" t="str">
        <x:v>calculated</x:v>
      </x:c>
      <x:c r="H5" s="22" t="str">
        <x:v>PASS</x:v>
      </x:c>
      <x:c r="I5" s="22" t="str"/>
    </x:row>
    <x:row r="6" ht="15" hidden="0" customHeight="1">
      <x:c r="A6" s="22" t="str">
        <x:v>loop_phase_loss_deg</x:v>
      </x:c>
      <x:c r="B6" s="22" t="str">
        <x:v>Analog phase loss at crossover</x:v>
      </x:c>
      <x:c r="C6" s="22" t="n">
        <x:v>3.914298915972547</x:v>
      </x:c>
      <x:c r="D6" s="22" t="str">
        <x:v>deg</x:v>
      </x:c>
      <x:c r="E6" s="22" t="str">
        <x:v>atan(floop/fc)</x:v>
      </x:c>
      <x:c r="F6" s="22" t="str"/>
      <x:c r="G6" s="22" t="str">
        <x:v>calculated</x:v>
      </x:c>
      <x:c r="H6" s="22" t="str">
        <x:v>PASS</x:v>
      </x:c>
      <x:c r="I6" s="22" t="str"/>
    </x:row>
    <x:row r="7" ht="15" hidden="0" customHeight="1">
      <x:c r="A7" s="22" t="str">
        <x:v>switching_attenuation_db</x:v>
      </x:c>
      <x:c r="B7" s="22" t="str">
        <x:v>Attenuation at switching frequency</x:v>
      </x:c>
      <x:c r="C7" s="22" t="n">
        <x:v>-13.386183564121858</x:v>
      </x:c>
      <x:c r="D7" s="22" t="str">
        <x:v>dB</x:v>
      </x:c>
      <x:c r="E7" s="22" t="str">
        <x:v>-10*log10(1+(fsw/fc)^2)</x:v>
      </x:c>
      <x:c r="F7" s="22" t="str"/>
      <x:c r="G7" s="22" t="str">
        <x:v>calculated</x:v>
      </x:c>
      <x:c r="H7" s="22" t="str">
        <x:v>PASS</x:v>
      </x:c>
      <x:c r="I7" s="22" t="str"/>
    </x:row>
  </x:sheetData>
  <x:conditionalFormatting sqref="H2:H7">
    <x:cfRule type="expression" dxfId="76" priority="1">
      <x:formula>H2="PASS"</x:formula>
    </x:cfRule>
    <x:cfRule type="expression" dxfId="77" priority="2">
      <x:formula>H2="WARNING"</x:formula>
    </x:cfRule>
    <x:cfRule type="expression" dxfId="78" priority="3">
      <x:formula>H2="FAIL"</x:formula>
    </x:cfRule>
    <x:cfRule type="expression" dxfId="79" priority="4">
      <x:formula>H2="NOT_EVALUATED"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2f44cded42349ae"/>
  </x:tableParts>
</x:worksheet>
</file>

<file path=xl/worksheets/sheet2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12" t="str">
        <x:v>Key</x:v>
      </x:c>
      <x:c r="B1" s="12" t="str">
        <x:v>Metric</x:v>
      </x:c>
      <x:c r="C1" s="12" t="str">
        <x:v>Value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15" hidden="0" customHeight="1">
      <x:c r="A2" s="22" t="str">
        <x:v>rc_cutoff_hz</x:v>
      </x:c>
      <x:c r="B2" s="22" t="str">
        <x:v>RC cutoff frequency</x:v>
      </x:c>
      <x:c r="C2" s="22" t="n">
        <x:v>6786.123015899687</x:v>
      </x:c>
      <x:c r="D2" s="22" t="str">
        <x:v>Hz</x:v>
      </x:c>
      <x:c r="E2" s="22" t="str">
        <x:v>1/(2*pi*R*C)</x:v>
      </x:c>
      <x:c r="F2" s="22" t="str"/>
      <x:c r="G2" s="22" t="str">
        <x:v>calculated</x:v>
      </x:c>
      <x:c r="H2" s="22" t="str">
        <x:v>PASS</x:v>
      </x:c>
      <x:c r="I2" s="22" t="str"/>
    </x:row>
    <x:row r="3" ht="15" hidden="0" customHeight="1">
      <x:c r="A3" s="22" t="str">
        <x:v>effective_bandwidth_hz</x:v>
      </x:c>
      <x:c r="B3" s="22" t="str">
        <x:v>Effective analog bandwidth</x:v>
      </x:c>
      <x:c r="C3" s="22" t="n">
        <x:v>6786.123015899687</x:v>
      </x:c>
      <x:c r="D3" s="22" t="str">
        <x:v>Hz</x:v>
      </x:c>
      <x:c r="E3" s="22" t="str">
        <x:v>min(RC cutoff, sensor bandwidth)</x:v>
      </x:c>
      <x:c r="F3" s="22" t="str"/>
      <x:c r="G3" s="22" t="str">
        <x:v>calculated</x:v>
      </x:c>
      <x:c r="H3" s="22" t="str">
        <x:v>PASS</x:v>
      </x:c>
      <x:c r="I3" s="22" t="str"/>
    </x:row>
    <x:row r="4" ht="15" hidden="0" customHeight="1">
      <x:c r="A4" s="22" t="str">
        <x:v>required_bandwidth_hz</x:v>
      </x:c>
      <x:c r="B4" s="22" t="str">
        <x:v>Minimum required bandwidth</x:v>
      </x:c>
      <x:c r="C4" s="22" t="n">
        <x:v>228.60104605522685</x:v>
      </x:c>
      <x:c r="D4" s="22" t="str">
        <x:v>Hz</x:v>
      </x:c>
      <x:c r="E4" s="22" t="str">
        <x:v>max(Kbw*floop, floop/tan(phi_budget))</x:v>
      </x:c>
      <x:c r="F4" s="22" t="str"/>
      <x:c r="G4" s="22" t="str">
        <x:v>calculated</x:v>
      </x:c>
      <x:c r="H4" s="22" t="str">
        <x:v>PASS</x:v>
      </x:c>
      <x:c r="I4" s="22" t="str"/>
    </x:row>
    <x:row r="5" ht="15" hidden="0" customHeight="1">
      <x:c r="A5" s="22" t="str">
        <x:v>loop_gain_ratio</x:v>
      </x:c>
      <x:c r="B5" s="22" t="str">
        <x:v>Magnitude at loop crossover</x:v>
      </x:c>
      <x:c r="C5" s="22" t="n">
        <x:v>0.9999956570611909</x:v>
      </x:c>
      <x:c r="D5" s="22" t="str">
        <x:v>pu</x:v>
      </x:c>
      <x:c r="E5" s="22" t="str">
        <x:v>1/sqrt(1+(floop/fc)^2)</x:v>
      </x:c>
      <x:c r="F5" s="22" t="str"/>
      <x:c r="G5" s="22" t="str">
        <x:v>calculated</x:v>
      </x:c>
      <x:c r="H5" s="22" t="str">
        <x:v>PASS</x:v>
      </x:c>
      <x:c r="I5" s="22" t="str"/>
    </x:row>
    <x:row r="6" ht="15" hidden="0" customHeight="1">
      <x:c r="A6" s="22" t="str">
        <x:v>loop_phase_loss_deg</x:v>
      </x:c>
      <x:c r="B6" s="22" t="str">
        <x:v>Analog phase loss at crossover</x:v>
      </x:c>
      <x:c r="C6" s="22" t="n">
        <x:v>0.16886111109563232</x:v>
      </x:c>
      <x:c r="D6" s="22" t="str">
        <x:v>deg</x:v>
      </x:c>
      <x:c r="E6" s="22" t="str">
        <x:v>atan(floop/fc)</x:v>
      </x:c>
      <x:c r="F6" s="22" t="str"/>
      <x:c r="G6" s="22" t="str">
        <x:v>calculated</x:v>
      </x:c>
      <x:c r="H6" s="22" t="str">
        <x:v>PASS</x:v>
      </x:c>
      <x:c r="I6" s="22" t="str"/>
    </x:row>
    <x:row r="7" ht="15" hidden="0" customHeight="1">
      <x:c r="A7" s="22" t="str">
        <x:v>switching_attenuation_db</x:v>
      </x:c>
      <x:c r="B7" s="22" t="str">
        <x:v>Attenuation at switching frequency</x:v>
      </x:c>
      <x:c r="C7" s="22" t="n">
        <x:v>-23.387519425398345</x:v>
      </x:c>
      <x:c r="D7" s="22" t="str">
        <x:v>dB</x:v>
      </x:c>
      <x:c r="E7" s="22" t="str">
        <x:v>-10*log10(1+(fsw/fc)^2)</x:v>
      </x:c>
      <x:c r="F7" s="22" t="str"/>
      <x:c r="G7" s="22" t="str">
        <x:v>calculated</x:v>
      </x:c>
      <x:c r="H7" s="22" t="str">
        <x:v>PASS</x:v>
      </x:c>
      <x:c r="I7" s="22" t="str"/>
    </x:row>
  </x:sheetData>
  <x:conditionalFormatting sqref="H2:H7">
    <x:cfRule type="expression" dxfId="80" priority="1">
      <x:formula>H2="PASS"</x:formula>
    </x:cfRule>
    <x:cfRule type="expression" dxfId="81" priority="2">
      <x:formula>H2="WARNING"</x:formula>
    </x:cfRule>
    <x:cfRule type="expression" dxfId="82" priority="3">
      <x:formula>H2="FAIL"</x:formula>
    </x:cfRule>
    <x:cfRule type="expression" dxfId="83" priority="4">
      <x:formula>H2="NOT_EVALUATED"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3c319e4f45348ec"/>
  </x:tableParts>
</x:worksheet>
</file>

<file path=xl/worksheets/sheet2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12" t="str">
        <x:v>Key</x:v>
      </x:c>
      <x:c r="B1" s="12" t="str">
        <x:v>Metric</x:v>
      </x:c>
      <x:c r="C1" s="12" t="str">
        <x:v>Value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15" hidden="0" customHeight="1">
      <x:c r="A2" s="22" t="str">
        <x:v>adc_lsb_v</x:v>
      </x:c>
      <x:c r="B2" s="22" t="str">
        <x:v>ADC voltage LSB</x:v>
      </x:c>
      <x:c r="C2" s="22" t="n">
        <x:v>0.000732421875</x:v>
      </x:c>
      <x:c r="D2" s="22" t="str">
        <x:v>V/code</x:v>
      </x:c>
      <x:c r="E2" s="22" t="str">
        <x:v>Vref/2^N</x:v>
      </x:c>
      <x:c r="F2" s="22" t="str"/>
      <x:c r="G2" s="22" t="str">
        <x:v>calculated</x:v>
      </x:c>
      <x:c r="H2" s="22" t="str">
        <x:v>PASS</x:v>
      </x:c>
      <x:c r="I2" s="22" t="str"/>
    </x:row>
    <x:row r="3" ht="15" hidden="0" customHeight="1">
      <x:c r="A3" s="22" t="str">
        <x:v>configured_sample_cycles</x:v>
      </x:c>
      <x:c r="B3" s="22" t="str">
        <x:v>Configured sample window</x:v>
      </x:c>
      <x:c r="C3" s="22" t="n">
        <x:v>20</x:v>
      </x:c>
      <x:c r="D3" s="22" t="str">
        <x:v>SYSCLK</x:v>
      </x:c>
      <x:c r="E3" s="22" t="str"/>
      <x:c r="F3" s="22" t="str"/>
      <x:c r="G3" s="22" t="str">
        <x:v>calculated</x:v>
      </x:c>
      <x:c r="H3" s="22" t="str">
        <x:v>PASS</x:v>
      </x:c>
      <x:c r="I3" s="22" t="str"/>
    </x:row>
    <x:row r="4" ht="15" hidden="0" customHeight="1">
      <x:c r="A4" s="22" t="str">
        <x:v>configured_sample_time_s</x:v>
      </x:c>
      <x:c r="B4" s="22" t="str">
        <x:v>Configured sample time</x:v>
      </x:c>
      <x:c r="C4" s="22" t="n">
        <x:v>1e-7</x:v>
      </x:c>
      <x:c r="D4" s="22" t="str">
        <x:v>s</x:v>
      </x:c>
      <x:c r="E4" s="22" t="str">
        <x:v>cycles/fsysclk</x:v>
      </x:c>
      <x:c r="F4" s="22" t="str"/>
      <x:c r="G4" s="22" t="str">
        <x:v>calculated</x:v>
      </x:c>
      <x:c r="H4" s="22" t="str">
        <x:v>PASS</x:v>
      </x:c>
      <x:c r="I4" s="22" t="str"/>
    </x:row>
    <x:row r="5" ht="15" hidden="0" customHeight="1">
      <x:c r="A5" s="22" t="str">
        <x:v>simplified_tau_s</x:v>
      </x:c>
      <x:c r="B5" s="22" t="str">
        <x:v>Simplified RC time constant</x:v>
      </x:c>
      <x:c r="C5" s="22" t="n">
        <x:v>3e-9</x:v>
      </x:c>
      <x:c r="D5" s="22" t="str">
        <x:v>s</x:v>
      </x:c>
      <x:c r="E5" s="22" t="str">
        <x:v>Rsource*Ctotal</x:v>
      </x:c>
      <x:c r="F5" s="22" t="str"/>
      <x:c r="G5" s="22" t="str">
        <x:v>calculated</x:v>
      </x:c>
      <x:c r="H5" s="22" t="str">
        <x:v>PASS</x:v>
      </x:c>
      <x:c r="I5" s="22" t="str"/>
    </x:row>
    <x:row r="6" ht="15" hidden="0" customHeight="1">
      <x:c r="A6" s="22" t="str">
        <x:v>simplified_required_time_s</x:v>
      </x:c>
      <x:c r="B6" s="22" t="str">
        <x:v>Simplified required acquisition time</x:v>
      </x:c>
      <x:c r="C6" s="22" t="n">
        <x:v>2.7032740041837863e-8</x:v>
      </x:c>
      <x:c r="D6" s="22" t="str">
        <x:v>s</x:v>
      </x:c>
      <x:c r="E6" s="22" t="str">
        <x:v>-tau*ln(target_lsb/2^N)</x:v>
      </x:c>
      <x:c r="F6" s="22" t="str"/>
      <x:c r="G6" s="22" t="str">
        <x:v>calculated</x:v>
      </x:c>
      <x:c r="H6" s="22" t="str">
        <x:v>PASS</x:v>
      </x:c>
      <x:c r="I6" s="22" t="str"/>
    </x:row>
    <x:row r="7" ht="15" hidden="0" customHeight="1">
      <x:c r="A7" s="22" t="str">
        <x:v>simplified_recommended_time_s</x:v>
      </x:c>
      <x:c r="B7" s="22" t="str">
        <x:v>Simplified recommended acquisition time</x:v>
      </x:c>
      <x:c r="C7" s="22" t="n">
        <x:v>4.0549110062756793e-8</x:v>
      </x:c>
      <x:c r="D7" s="22" t="str">
        <x:v>s</x:v>
      </x:c>
      <x:c r="E7" s="22" t="str">
        <x:v>treq*Ksafety</x:v>
      </x:c>
      <x:c r="F7" s="22" t="str"/>
      <x:c r="G7" s="22" t="str">
        <x:v>calculated</x:v>
      </x:c>
      <x:c r="H7" s="22" t="str">
        <x:v>PASS</x:v>
      </x:c>
      <x:c r="I7" s="22" t="str"/>
    </x:row>
    <x:row r="8" ht="15" hidden="0" customHeight="1">
      <x:c r="A8" s="22" t="str">
        <x:v>simplified_recommended_cycles</x:v>
      </x:c>
      <x:c r="B8" s="22" t="str">
        <x:v>Simplified recommended sample window</x:v>
      </x:c>
      <x:c r="C8" s="22" t="n">
        <x:v>9</x:v>
      </x:c>
      <x:c r="D8" s="22" t="str">
        <x:v>SYSCLK</x:v>
      </x:c>
      <x:c r="E8" s="22" t="str">
        <x:v>ceil(trec*fsysclk)</x:v>
      </x:c>
      <x:c r="F8" s="22" t="str"/>
      <x:c r="G8" s="22" t="str">
        <x:v>calculated</x:v>
      </x:c>
      <x:c r="H8" s="22" t="str">
        <x:v>PASS</x:v>
      </x:c>
      <x:c r="I8" s="22" t="str"/>
    </x:row>
    <x:row r="9" ht="52.79999923706055" hidden="0" customHeight="1">
      <x:c r="A9" s="22" t="str">
        <x:v>exact_recommended_cycles</x:v>
      </x:c>
      <x:c r="B9" s="22" t="str">
        <x:v>Exact-model recommended sample window</x:v>
      </x:c>
      <x:c r="C9" s="22"/>
      <x:c r="D9" s="22" t="str">
        <x:v>SYSCLK</x:v>
      </x:c>
      <x:c r="E9" s="22" t="str"/>
      <x:c r="F9" s="22" t="str"/>
      <x:c r="G9" s="22" t="str">
        <x:v>missing device parameters</x:v>
      </x:c>
      <x:c r="H9" s="22" t="str">
        <x:v>NOT_EVALUATED</x:v>
      </x:c>
      <x:c r="I9" s="22" t="str">
        <x:v>Enter F29H85x sample capacitor and switch resistance from the applicable data sheet/model.</x:v>
      </x:c>
    </x:row>
  </x:sheetData>
  <x:conditionalFormatting sqref="H2:H9">
    <x:cfRule type="expression" dxfId="84" priority="1">
      <x:formula>H2="PASS"</x:formula>
    </x:cfRule>
    <x:cfRule type="expression" dxfId="85" priority="2">
      <x:formula>H2="WARNING"</x:formula>
    </x:cfRule>
    <x:cfRule type="expression" dxfId="86" priority="3">
      <x:formula>H2="FAIL"</x:formula>
    </x:cfRule>
    <x:cfRule type="expression" dxfId="87" priority="4">
      <x:formula>H2="NOT_EVALUATED"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f41aeb3a1534785"/>
  </x:tableParts>
</x:worksheet>
</file>

<file path=xl/worksheets/sheet2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12" t="str">
        <x:v>Key</x:v>
      </x:c>
      <x:c r="B1" s="12" t="str">
        <x:v>Metric</x:v>
      </x:c>
      <x:c r="C1" s="12" t="str">
        <x:v>Value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15" hidden="0" customHeight="1">
      <x:c r="A2" s="22" t="str">
        <x:v>sensor_delay_s</x:v>
      </x:c>
      <x:c r="B2" s="22" t="str">
        <x:v>Sensor delay</x:v>
      </x:c>
      <x:c r="C2" s="22" t="n">
        <x:v>2e-7</x:v>
      </x:c>
      <x:c r="D2" s="22" t="str">
        <x:v>s</x:v>
      </x:c>
      <x:c r="E2" s="22" t="str"/>
      <x:c r="F2" s="22" t="str"/>
      <x:c r="G2" s="22" t="str">
        <x:v>calculated</x:v>
      </x:c>
      <x:c r="H2" s="22" t="str">
        <x:v>PASS</x:v>
      </x:c>
      <x:c r="I2" s="22" t="str"/>
    </x:row>
    <x:row r="3" ht="15" hidden="0" customHeight="1">
      <x:c r="A3" s="22" t="str">
        <x:v>isolation_delay_s</x:v>
      </x:c>
      <x:c r="B3" s="22" t="str">
        <x:v>Isolation delay</x:v>
      </x:c>
      <x:c r="C3" s="22" t="n">
        <x:v>0</x:v>
      </x:c>
      <x:c r="D3" s="22" t="str">
        <x:v>s</x:v>
      </x:c>
      <x:c r="E3" s="22" t="str"/>
      <x:c r="F3" s="22" t="str"/>
      <x:c r="G3" s="22" t="str">
        <x:v>calculated</x:v>
      </x:c>
      <x:c r="H3" s="22" t="str">
        <x:v>PASS</x:v>
      </x:c>
      <x:c r="I3" s="22" t="str"/>
    </x:row>
    <x:row r="4" ht="15" hidden="0" customHeight="1">
      <x:c r="A4" s="22" t="str">
        <x:v>adc_delay_s</x:v>
      </x:c>
      <x:c r="B4" s="22" t="str">
        <x:v>Adc delay</x:v>
      </x:c>
      <x:c r="C4" s="22"/>
      <x:c r="D4" s="22" t="str">
        <x:v>s</x:v>
      </x:c>
      <x:c r="E4" s="22" t="str"/>
      <x:c r="F4" s="22" t="str"/>
      <x:c r="G4" s="22" t="str">
        <x:v>calculated</x:v>
      </x:c>
      <x:c r="H4" s="22" t="str">
        <x:v>NOT_EVALUATED</x:v>
      </x:c>
      <x:c r="I4" s="22" t="str"/>
    </x:row>
    <x:row r="5" ht="15" hidden="0" customHeight="1">
      <x:c r="A5" s="22" t="str">
        <x:v>isr_delay_s</x:v>
      </x:c>
      <x:c r="B5" s="22" t="str">
        <x:v>Isr delay</x:v>
      </x:c>
      <x:c r="C5" s="22"/>
      <x:c r="D5" s="22" t="str">
        <x:v>s</x:v>
      </x:c>
      <x:c r="E5" s="22" t="str"/>
      <x:c r="F5" s="22" t="str"/>
      <x:c r="G5" s="22" t="str">
        <x:v>calculated</x:v>
      </x:c>
      <x:c r="H5" s="22" t="str">
        <x:v>NOT_EVALUATED</x:v>
      </x:c>
      <x:c r="I5" s="22" t="str"/>
    </x:row>
    <x:row r="6" ht="15" hidden="0" customHeight="1">
      <x:c r="A6" s="22" t="str">
        <x:v>pwm_delay_s</x:v>
      </x:c>
      <x:c r="B6" s="22" t="str">
        <x:v>Pwm delay</x:v>
      </x:c>
      <x:c r="C6" s="22"/>
      <x:c r="D6" s="22" t="str">
        <x:v>s</x:v>
      </x:c>
      <x:c r="E6" s="22" t="str"/>
      <x:c r="F6" s="22" t="str"/>
      <x:c r="G6" s="22" t="str">
        <x:v>calculated</x:v>
      </x:c>
      <x:c r="H6" s="22" t="str">
        <x:v>NOT_EVALUATED</x:v>
      </x:c>
      <x:c r="I6" s="22" t="str"/>
    </x:row>
    <x:row r="7" ht="15" hidden="0" customHeight="1">
      <x:c r="A7" s="22" t="str">
        <x:v>known_delay_total_s</x:v>
      </x:c>
      <x:c r="B7" s="22" t="str">
        <x:v>Known pure-delay total</x:v>
      </x:c>
      <x:c r="C7" s="22" t="n">
        <x:v>2e-7</x:v>
      </x:c>
      <x:c r="D7" s="22" t="str">
        <x:v>s</x:v>
      </x:c>
      <x:c r="E7" s="22" t="str">
        <x:v>sum(known delays)</x:v>
      </x:c>
      <x:c r="F7" s="22" t="str"/>
      <x:c r="G7" s="22" t="str">
        <x:v>calculated</x:v>
      </x:c>
      <x:c r="H7" s="22" t="str">
        <x:v>PASS</x:v>
      </x:c>
      <x:c r="I7" s="22" t="str"/>
    </x:row>
    <x:row r="8" ht="15" hidden="0" customHeight="1">
      <x:c r="A8" s="22" t="str">
        <x:v>known_delay_phase_deg</x:v>
      </x:c>
      <x:c r="B8" s="22" t="str">
        <x:v>Known pure-delay phase loss</x:v>
      </x:c>
      <x:c r="C8" s="22" t="n">
        <x:v>0.216</x:v>
      </x:c>
      <x:c r="D8" s="22" t="str">
        <x:v>deg</x:v>
      </x:c>
      <x:c r="E8" s="22" t="str">
        <x:v>360*floop*Tdelay</x:v>
      </x:c>
      <x:c r="F8" s="22" t="str"/>
      <x:c r="G8" s="22" t="str">
        <x:v>calculated</x:v>
      </x:c>
      <x:c r="H8" s="22" t="str">
        <x:v>NOT_EVALUATED</x:v>
      </x:c>
      <x:c r="I8" s="22" t="str"/>
    </x:row>
  </x:sheetData>
  <x:conditionalFormatting sqref="H2:H8">
    <x:cfRule type="expression" dxfId="88" priority="1">
      <x:formula>H2="PASS"</x:formula>
    </x:cfRule>
    <x:cfRule type="expression" dxfId="89" priority="2">
      <x:formula>H2="WARNING"</x:formula>
    </x:cfRule>
    <x:cfRule type="expression" dxfId="90" priority="3">
      <x:formula>H2="FAIL"</x:formula>
    </x:cfRule>
    <x:cfRule type="expression" dxfId="91" priority="4">
      <x:formula>H2="NOT_EVALUATED"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551fccb5f674160"/>
  </x:tableParts>
</x:worksheet>
</file>

<file path=xl/worksheets/sheet2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12" t="str">
        <x:v>Key</x:v>
      </x:c>
      <x:c r="B1" s="12" t="str">
        <x:v>Metric</x:v>
      </x:c>
      <x:c r="C1" s="12" t="str">
        <x:v>Value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15" hidden="0" customHeight="1">
      <x:c r="A2" s="22" t="str">
        <x:v>sensor_delay_s</x:v>
      </x:c>
      <x:c r="B2" s="22" t="str">
        <x:v>Sensor delay</x:v>
      </x:c>
      <x:c r="C2" s="22" t="n">
        <x:v>0</x:v>
      </x:c>
      <x:c r="D2" s="22" t="str">
        <x:v>s</x:v>
      </x:c>
      <x:c r="E2" s="22" t="str"/>
      <x:c r="F2" s="22" t="str"/>
      <x:c r="G2" s="22" t="str">
        <x:v>calculated</x:v>
      </x:c>
      <x:c r="H2" s="22" t="str">
        <x:v>PASS</x:v>
      </x:c>
      <x:c r="I2" s="22" t="str"/>
    </x:row>
    <x:row r="3" ht="15" hidden="0" customHeight="1">
      <x:c r="A3" s="22" t="str">
        <x:v>isolation_delay_s</x:v>
      </x:c>
      <x:c r="B3" s="22" t="str">
        <x:v>Isolation delay</x:v>
      </x:c>
      <x:c r="C3" s="22"/>
      <x:c r="D3" s="22" t="str">
        <x:v>s</x:v>
      </x:c>
      <x:c r="E3" s="22" t="str"/>
      <x:c r="F3" s="22" t="str"/>
      <x:c r="G3" s="22" t="str">
        <x:v>calculated</x:v>
      </x:c>
      <x:c r="H3" s="22" t="str">
        <x:v>NOT_EVALUATED</x:v>
      </x:c>
      <x:c r="I3" s="22" t="str"/>
    </x:row>
    <x:row r="4" ht="15" hidden="0" customHeight="1">
      <x:c r="A4" s="22" t="str">
        <x:v>adc_delay_s</x:v>
      </x:c>
      <x:c r="B4" s="22" t="str">
        <x:v>Adc delay</x:v>
      </x:c>
      <x:c r="C4" s="22"/>
      <x:c r="D4" s="22" t="str">
        <x:v>s</x:v>
      </x:c>
      <x:c r="E4" s="22" t="str"/>
      <x:c r="F4" s="22" t="str"/>
      <x:c r="G4" s="22" t="str">
        <x:v>calculated</x:v>
      </x:c>
      <x:c r="H4" s="22" t="str">
        <x:v>NOT_EVALUATED</x:v>
      </x:c>
      <x:c r="I4" s="22" t="str"/>
    </x:row>
    <x:row r="5" ht="15" hidden="0" customHeight="1">
      <x:c r="A5" s="22" t="str">
        <x:v>isr_delay_s</x:v>
      </x:c>
      <x:c r="B5" s="22" t="str">
        <x:v>Isr delay</x:v>
      </x:c>
      <x:c r="C5" s="22"/>
      <x:c r="D5" s="22" t="str">
        <x:v>s</x:v>
      </x:c>
      <x:c r="E5" s="22" t="str"/>
      <x:c r="F5" s="22" t="str"/>
      <x:c r="G5" s="22" t="str">
        <x:v>calculated</x:v>
      </x:c>
      <x:c r="H5" s="22" t="str">
        <x:v>NOT_EVALUATED</x:v>
      </x:c>
      <x:c r="I5" s="22" t="str"/>
    </x:row>
    <x:row r="6" ht="15" hidden="0" customHeight="1">
      <x:c r="A6" s="22" t="str">
        <x:v>pwm_delay_s</x:v>
      </x:c>
      <x:c r="B6" s="22" t="str">
        <x:v>Pwm delay</x:v>
      </x:c>
      <x:c r="C6" s="22"/>
      <x:c r="D6" s="22" t="str">
        <x:v>s</x:v>
      </x:c>
      <x:c r="E6" s="22" t="str"/>
      <x:c r="F6" s="22" t="str"/>
      <x:c r="G6" s="22" t="str">
        <x:v>calculated</x:v>
      </x:c>
      <x:c r="H6" s="22" t="str">
        <x:v>NOT_EVALUATED</x:v>
      </x:c>
      <x:c r="I6" s="22" t="str"/>
    </x:row>
    <x:row r="7" ht="15" hidden="0" customHeight="1">
      <x:c r="A7" s="22" t="str">
        <x:v>known_delay_total_s</x:v>
      </x:c>
      <x:c r="B7" s="22" t="str">
        <x:v>Known pure-delay total</x:v>
      </x:c>
      <x:c r="C7" s="22" t="n">
        <x:v>0</x:v>
      </x:c>
      <x:c r="D7" s="22" t="str">
        <x:v>s</x:v>
      </x:c>
      <x:c r="E7" s="22" t="str">
        <x:v>sum(known delays)</x:v>
      </x:c>
      <x:c r="F7" s="22" t="str"/>
      <x:c r="G7" s="22" t="str">
        <x:v>calculated</x:v>
      </x:c>
      <x:c r="H7" s="22" t="str">
        <x:v>PASS</x:v>
      </x:c>
      <x:c r="I7" s="22" t="str"/>
    </x:row>
    <x:row r="8" ht="15" hidden="0" customHeight="1">
      <x:c r="A8" s="22" t="str">
        <x:v>known_delay_phase_deg</x:v>
      </x:c>
      <x:c r="B8" s="22" t="str">
        <x:v>Known pure-delay phase loss</x:v>
      </x:c>
      <x:c r="C8" s="22" t="n">
        <x:v>0</x:v>
      </x:c>
      <x:c r="D8" s="22" t="str">
        <x:v>deg</x:v>
      </x:c>
      <x:c r="E8" s="22" t="str">
        <x:v>360*floop*Tdelay</x:v>
      </x:c>
      <x:c r="F8" s="22" t="str"/>
      <x:c r="G8" s="22" t="str">
        <x:v>calculated</x:v>
      </x:c>
      <x:c r="H8" s="22" t="str">
        <x:v>NOT_EVALUATED</x:v>
      </x:c>
      <x:c r="I8" s="22" t="str"/>
    </x:row>
  </x:sheetData>
  <x:conditionalFormatting sqref="H2:H8">
    <x:cfRule type="expression" dxfId="92" priority="1">
      <x:formula>H2="PASS"</x:formula>
    </x:cfRule>
    <x:cfRule type="expression" dxfId="93" priority="2">
      <x:formula>H2="WARNING"</x:formula>
    </x:cfRule>
    <x:cfRule type="expression" dxfId="94" priority="3">
      <x:formula>H2="FAIL"</x:formula>
    </x:cfRule>
    <x:cfRule type="expression" dxfId="95" priority="4">
      <x:formula>H2="NOT_EVALUATED"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9b1d717a2364768"/>
  </x:tableParts>
</x:worksheet>
</file>

<file path=xl/worksheets/sheet2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12" t="str">
        <x:v>Key</x:v>
      </x:c>
      <x:c r="B1" s="12" t="str">
        <x:v>Metric</x:v>
      </x:c>
      <x:c r="C1" s="12" t="str">
        <x:v>Value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15" hidden="0" customHeight="1">
      <x:c r="A2" s="22" t="str">
        <x:v>sensor_delay_s</x:v>
      </x:c>
      <x:c r="B2" s="22" t="str">
        <x:v>Sensor delay</x:v>
      </x:c>
      <x:c r="C2" s="22" t="n">
        <x:v>0</x:v>
      </x:c>
      <x:c r="D2" s="22" t="str">
        <x:v>s</x:v>
      </x:c>
      <x:c r="E2" s="22" t="str"/>
      <x:c r="F2" s="22" t="str"/>
      <x:c r="G2" s="22" t="str">
        <x:v>calculated</x:v>
      </x:c>
      <x:c r="H2" s="22" t="str">
        <x:v>PASS</x:v>
      </x:c>
      <x:c r="I2" s="22" t="str"/>
    </x:row>
    <x:row r="3" ht="15" hidden="0" customHeight="1">
      <x:c r="A3" s="22" t="str">
        <x:v>isolation_delay_s</x:v>
      </x:c>
      <x:c r="B3" s="22" t="str">
        <x:v>Isolation delay</x:v>
      </x:c>
      <x:c r="C3" s="22" t="n">
        <x:v>0.0000029</x:v>
      </x:c>
      <x:c r="D3" s="22" t="str">
        <x:v>s</x:v>
      </x:c>
      <x:c r="E3" s="22" t="str"/>
      <x:c r="F3" s="22" t="str"/>
      <x:c r="G3" s="22" t="str">
        <x:v>calculated</x:v>
      </x:c>
      <x:c r="H3" s="22" t="str">
        <x:v>PASS</x:v>
      </x:c>
      <x:c r="I3" s="22" t="str"/>
    </x:row>
    <x:row r="4" ht="15" hidden="0" customHeight="1">
      <x:c r="A4" s="22" t="str">
        <x:v>adc_delay_s</x:v>
      </x:c>
      <x:c r="B4" s="22" t="str">
        <x:v>Adc delay</x:v>
      </x:c>
      <x:c r="C4" s="22"/>
      <x:c r="D4" s="22" t="str">
        <x:v>s</x:v>
      </x:c>
      <x:c r="E4" s="22" t="str"/>
      <x:c r="F4" s="22" t="str"/>
      <x:c r="G4" s="22" t="str">
        <x:v>calculated</x:v>
      </x:c>
      <x:c r="H4" s="22" t="str">
        <x:v>NOT_EVALUATED</x:v>
      </x:c>
      <x:c r="I4" s="22" t="str"/>
    </x:row>
    <x:row r="5" ht="15" hidden="0" customHeight="1">
      <x:c r="A5" s="22" t="str">
        <x:v>isr_delay_s</x:v>
      </x:c>
      <x:c r="B5" s="22" t="str">
        <x:v>Isr delay</x:v>
      </x:c>
      <x:c r="C5" s="22"/>
      <x:c r="D5" s="22" t="str">
        <x:v>s</x:v>
      </x:c>
      <x:c r="E5" s="22" t="str"/>
      <x:c r="F5" s="22" t="str"/>
      <x:c r="G5" s="22" t="str">
        <x:v>calculated</x:v>
      </x:c>
      <x:c r="H5" s="22" t="str">
        <x:v>NOT_EVALUATED</x:v>
      </x:c>
      <x:c r="I5" s="22" t="str"/>
    </x:row>
    <x:row r="6" ht="15" hidden="0" customHeight="1">
      <x:c r="A6" s="22" t="str">
        <x:v>pwm_delay_s</x:v>
      </x:c>
      <x:c r="B6" s="22" t="str">
        <x:v>Pwm delay</x:v>
      </x:c>
      <x:c r="C6" s="22"/>
      <x:c r="D6" s="22" t="str">
        <x:v>s</x:v>
      </x:c>
      <x:c r="E6" s="22" t="str"/>
      <x:c r="F6" s="22" t="str"/>
      <x:c r="G6" s="22" t="str">
        <x:v>calculated</x:v>
      </x:c>
      <x:c r="H6" s="22" t="str">
        <x:v>NOT_EVALUATED</x:v>
      </x:c>
      <x:c r="I6" s="22" t="str"/>
    </x:row>
    <x:row r="7" ht="15" hidden="0" customHeight="1">
      <x:c r="A7" s="22" t="str">
        <x:v>known_delay_total_s</x:v>
      </x:c>
      <x:c r="B7" s="22" t="str">
        <x:v>Known pure-delay total</x:v>
      </x:c>
      <x:c r="C7" s="22" t="n">
        <x:v>0.0000029</x:v>
      </x:c>
      <x:c r="D7" s="22" t="str">
        <x:v>s</x:v>
      </x:c>
      <x:c r="E7" s="22" t="str">
        <x:v>sum(known delays)</x:v>
      </x:c>
      <x:c r="F7" s="22" t="str"/>
      <x:c r="G7" s="22" t="str">
        <x:v>calculated</x:v>
      </x:c>
      <x:c r="H7" s="22" t="str">
        <x:v>PASS</x:v>
      </x:c>
      <x:c r="I7" s="22" t="str"/>
    </x:row>
    <x:row r="8" ht="15" hidden="0" customHeight="1">
      <x:c r="A8" s="22" t="str">
        <x:v>known_delay_phase_deg</x:v>
      </x:c>
      <x:c r="B8" s="22" t="str">
        <x:v>Known pure-delay phase loss</x:v>
      </x:c>
      <x:c r="C8" s="22" t="n">
        <x:v>0.03132</x:v>
      </x:c>
      <x:c r="D8" s="22" t="str">
        <x:v>deg</x:v>
      </x:c>
      <x:c r="E8" s="22" t="str">
        <x:v>360*floop*Tdelay</x:v>
      </x:c>
      <x:c r="F8" s="22" t="str"/>
      <x:c r="G8" s="22" t="str">
        <x:v>calculated</x:v>
      </x:c>
      <x:c r="H8" s="22" t="str">
        <x:v>NOT_EVALUATED</x:v>
      </x:c>
      <x:c r="I8" s="22" t="str"/>
    </x:row>
  </x:sheetData>
  <x:conditionalFormatting sqref="H2:H8">
    <x:cfRule type="expression" dxfId="96" priority="1">
      <x:formula>H2="PASS"</x:formula>
    </x:cfRule>
    <x:cfRule type="expression" dxfId="97" priority="2">
      <x:formula>H2="WARNING"</x:formula>
    </x:cfRule>
    <x:cfRule type="expression" dxfId="98" priority="3">
      <x:formula>H2="FAIL"</x:formula>
    </x:cfRule>
    <x:cfRule type="expression" dxfId="99" priority="4">
      <x:formula>H2="NOT_EVALUATED"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4db286ec5c04bd2"/>
  </x:tableParts>
</x:worksheet>
</file>

<file path=xl/worksheets/sheet2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12" t="str">
        <x:v>Key</x:v>
      </x:c>
      <x:c r="B1" s="12" t="str">
        <x:v>Metric</x:v>
      </x:c>
      <x:c r="C1" s="12" t="str">
        <x:v>Value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15" hidden="0" customHeight="1">
      <x:c r="A2" s="22" t="str">
        <x:v>sensor_delay_s</x:v>
      </x:c>
      <x:c r="B2" s="22" t="str">
        <x:v>Sensor delay</x:v>
      </x:c>
      <x:c r="C2" s="22"/>
      <x:c r="D2" s="22" t="str">
        <x:v>s</x:v>
      </x:c>
      <x:c r="E2" s="22" t="str"/>
      <x:c r="F2" s="22" t="str"/>
      <x:c r="G2" s="22" t="str">
        <x:v>calculated</x:v>
      </x:c>
      <x:c r="H2" s="22" t="str">
        <x:v>NOT_EVALUATED</x:v>
      </x:c>
      <x:c r="I2" s="22" t="str"/>
    </x:row>
    <x:row r="3" ht="15" hidden="0" customHeight="1">
      <x:c r="A3" s="22" t="str">
        <x:v>isolation_delay_s</x:v>
      </x:c>
      <x:c r="B3" s="22" t="str">
        <x:v>Isolation delay</x:v>
      </x:c>
      <x:c r="C3" s="22"/>
      <x:c r="D3" s="22" t="str">
        <x:v>s</x:v>
      </x:c>
      <x:c r="E3" s="22" t="str"/>
      <x:c r="F3" s="22" t="str"/>
      <x:c r="G3" s="22" t="str">
        <x:v>calculated</x:v>
      </x:c>
      <x:c r="H3" s="22" t="str">
        <x:v>NOT_EVALUATED</x:v>
      </x:c>
      <x:c r="I3" s="22" t="str"/>
    </x:row>
    <x:row r="4" ht="15" hidden="0" customHeight="1">
      <x:c r="A4" s="22" t="str">
        <x:v>adc_delay_s</x:v>
      </x:c>
      <x:c r="B4" s="22" t="str">
        <x:v>Adc delay</x:v>
      </x:c>
      <x:c r="C4" s="22"/>
      <x:c r="D4" s="22" t="str">
        <x:v>s</x:v>
      </x:c>
      <x:c r="E4" s="22" t="str"/>
      <x:c r="F4" s="22" t="str"/>
      <x:c r="G4" s="22" t="str">
        <x:v>calculated</x:v>
      </x:c>
      <x:c r="H4" s="22" t="str">
        <x:v>NOT_EVALUATED</x:v>
      </x:c>
      <x:c r="I4" s="22" t="str"/>
    </x:row>
    <x:row r="5" ht="15" hidden="0" customHeight="1">
      <x:c r="A5" s="22" t="str">
        <x:v>isr_delay_s</x:v>
      </x:c>
      <x:c r="B5" s="22" t="str">
        <x:v>Isr delay</x:v>
      </x:c>
      <x:c r="C5" s="22"/>
      <x:c r="D5" s="22" t="str">
        <x:v>s</x:v>
      </x:c>
      <x:c r="E5" s="22" t="str"/>
      <x:c r="F5" s="22" t="str"/>
      <x:c r="G5" s="22" t="str">
        <x:v>calculated</x:v>
      </x:c>
      <x:c r="H5" s="22" t="str">
        <x:v>NOT_EVALUATED</x:v>
      </x:c>
      <x:c r="I5" s="22" t="str"/>
    </x:row>
    <x:row r="6" ht="15" hidden="0" customHeight="1">
      <x:c r="A6" s="22" t="str">
        <x:v>pwm_delay_s</x:v>
      </x:c>
      <x:c r="B6" s="22" t="str">
        <x:v>Pwm delay</x:v>
      </x:c>
      <x:c r="C6" s="22"/>
      <x:c r="D6" s="22" t="str">
        <x:v>s</x:v>
      </x:c>
      <x:c r="E6" s="22" t="str"/>
      <x:c r="F6" s="22" t="str"/>
      <x:c r="G6" s="22" t="str">
        <x:v>calculated</x:v>
      </x:c>
      <x:c r="H6" s="22" t="str">
        <x:v>NOT_EVALUATED</x:v>
      </x:c>
      <x:c r="I6" s="22" t="str"/>
    </x:row>
    <x:row r="7" ht="15" hidden="0" customHeight="1">
      <x:c r="A7" s="22" t="str">
        <x:v>known_delay_total_s</x:v>
      </x:c>
      <x:c r="B7" s="22" t="str">
        <x:v>Known pure-delay total</x:v>
      </x:c>
      <x:c r="C7" s="22" t="n">
        <x:v>0</x:v>
      </x:c>
      <x:c r="D7" s="22" t="str">
        <x:v>s</x:v>
      </x:c>
      <x:c r="E7" s="22" t="str">
        <x:v>sum(known delays)</x:v>
      </x:c>
      <x:c r="F7" s="22" t="str"/>
      <x:c r="G7" s="22" t="str">
        <x:v>calculated</x:v>
      </x:c>
      <x:c r="H7" s="22" t="str">
        <x:v>PASS</x:v>
      </x:c>
      <x:c r="I7" s="22" t="str"/>
    </x:row>
    <x:row r="8" ht="15" hidden="0" customHeight="1">
      <x:c r="A8" s="22" t="str">
        <x:v>known_delay_phase_deg</x:v>
      </x:c>
      <x:c r="B8" s="22" t="str">
        <x:v>Known pure-delay phase loss</x:v>
      </x:c>
      <x:c r="C8" s="22" t="n">
        <x:v>0</x:v>
      </x:c>
      <x:c r="D8" s="22" t="str">
        <x:v>deg</x:v>
      </x:c>
      <x:c r="E8" s="22" t="str">
        <x:v>360*floop*Tdelay</x:v>
      </x:c>
      <x:c r="F8" s="22" t="str"/>
      <x:c r="G8" s="22" t="str">
        <x:v>calculated</x:v>
      </x:c>
      <x:c r="H8" s="22" t="str">
        <x:v>NOT_EVALUATED</x:v>
      </x:c>
      <x:c r="I8" s="22" t="str"/>
    </x:row>
  </x:sheetData>
  <x:conditionalFormatting sqref="H2:H8">
    <x:cfRule type="expression" dxfId="100" priority="1">
      <x:formula>H2="PASS"</x:formula>
    </x:cfRule>
    <x:cfRule type="expression" dxfId="101" priority="2">
      <x:formula>H2="WARNING"</x:formula>
    </x:cfRule>
    <x:cfRule type="expression" dxfId="102" priority="3">
      <x:formula>H2="FAIL"</x:formula>
    </x:cfRule>
    <x:cfRule type="expression" dxfId="103" priority="4">
      <x:formula>H2="NOT_EVALUATED"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76b784b10354c0e"/>
  </x:tableParts>
</x:worksheet>
</file>

<file path=xl/worksheets/sheet2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12" t="str">
        <x:v>Key</x:v>
      </x:c>
      <x:c r="B1" s="12" t="str">
        <x:v>Metric</x:v>
      </x:c>
      <x:c r="C1" s="12" t="str">
        <x:v>Value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15" hidden="0" customHeight="1">
      <x:c r="A2" s="22" t="str">
        <x:v>wc_percent_fs</x:v>
      </x:c>
      <x:c r="B2" s="22" t="str">
        <x:v>Worst-case total error</x:v>
      </x:c>
      <x:c r="C2" s="22"/>
      <x:c r="D2" s="22" t="str">
        <x:v>%FS</x:v>
      </x:c>
      <x:c r="E2" s="22" t="str"/>
      <x:c r="F2" s="22" t="str"/>
      <x:c r="G2" s="22" t="str">
        <x:v>missing error sources</x:v>
      </x:c>
      <x:c r="H2" s="22" t="str">
        <x:v>NOT_EVALUATED</x:v>
      </x:c>
      <x:c r="I2" s="22" t="str"/>
    </x:row>
    <x:row r="3" ht="15" hidden="0" customHeight="1">
      <x:c r="A3" s="22" t="str">
        <x:v>rss_percent_fs</x:v>
      </x:c>
      <x:c r="B3" s="22" t="str">
        <x:v>RSS total error</x:v>
      </x:c>
      <x:c r="C3" s="22"/>
      <x:c r="D3" s="22" t="str">
        <x:v>%FS</x:v>
      </x:c>
      <x:c r="E3" s="22" t="str"/>
      <x:c r="F3" s="22" t="str"/>
      <x:c r="G3" s="22" t="str">
        <x:v>missing error sources</x:v>
      </x:c>
      <x:c r="H3" s="22" t="str">
        <x:v>NOT_EVALUATED</x:v>
      </x:c>
      <x:c r="I3" s="22" t="str"/>
    </x:row>
  </x:sheetData>
  <x:conditionalFormatting sqref="H2:H3">
    <x:cfRule type="expression" dxfId="104" priority="1">
      <x:formula>H2="PASS"</x:formula>
    </x:cfRule>
    <x:cfRule type="expression" dxfId="105" priority="2">
      <x:formula>H2="WARNING"</x:formula>
    </x:cfRule>
    <x:cfRule type="expression" dxfId="106" priority="3">
      <x:formula>H2="FAIL"</x:formula>
    </x:cfRule>
    <x:cfRule type="expression" dxfId="107" priority="4">
      <x:formula>H2="NOT_EVALUATED"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14b88d6c9ba48c5"/>
  </x:tableParts>
</x:worksheet>
</file>

<file path=xl/worksheets/sheet2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12" t="str">
        <x:v>Key</x:v>
      </x:c>
      <x:c r="B1" s="12" t="str">
        <x:v>Metric</x:v>
      </x:c>
      <x:c r="C1" s="12" t="str">
        <x:v>Value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15" hidden="0" customHeight="1">
      <x:c r="A2" s="22" t="str">
        <x:v>wc_percent_fs</x:v>
      </x:c>
      <x:c r="B2" s="22" t="str">
        <x:v>Worst-case total error</x:v>
      </x:c>
      <x:c r="C2" s="22"/>
      <x:c r="D2" s="22" t="str">
        <x:v>%FS</x:v>
      </x:c>
      <x:c r="E2" s="22" t="str"/>
      <x:c r="F2" s="22" t="str"/>
      <x:c r="G2" s="22" t="str">
        <x:v>missing error sources</x:v>
      </x:c>
      <x:c r="H2" s="22" t="str">
        <x:v>NOT_EVALUATED</x:v>
      </x:c>
      <x:c r="I2" s="22" t="str"/>
    </x:row>
    <x:row r="3" ht="15" hidden="0" customHeight="1">
      <x:c r="A3" s="22" t="str">
        <x:v>rss_percent_fs</x:v>
      </x:c>
      <x:c r="B3" s="22" t="str">
        <x:v>RSS total error</x:v>
      </x:c>
      <x:c r="C3" s="22"/>
      <x:c r="D3" s="22" t="str">
        <x:v>%FS</x:v>
      </x:c>
      <x:c r="E3" s="22" t="str"/>
      <x:c r="F3" s="22" t="str"/>
      <x:c r="G3" s="22" t="str">
        <x:v>missing error sources</x:v>
      </x:c>
      <x:c r="H3" s="22" t="str">
        <x:v>NOT_EVALUATED</x:v>
      </x:c>
      <x:c r="I3" s="22" t="str"/>
    </x:row>
  </x:sheetData>
  <x:conditionalFormatting sqref="H2:H3">
    <x:cfRule type="expression" dxfId="108" priority="1">
      <x:formula>H2="PASS"</x:formula>
    </x:cfRule>
    <x:cfRule type="expression" dxfId="109" priority="2">
      <x:formula>H2="WARNING"</x:formula>
    </x:cfRule>
    <x:cfRule type="expression" dxfId="110" priority="3">
      <x:formula>H2="FAIL"</x:formula>
    </x:cfRule>
    <x:cfRule type="expression" dxfId="111" priority="4">
      <x:formula>H2="NOT_EVALUATED"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e21a8211b7d44e8"/>
  </x:tableParts>
</x:worksheet>
</file>

<file path=xl/worksheets/sheet3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12" t="str">
        <x:v>Key</x:v>
      </x:c>
      <x:c r="B1" s="12" t="str">
        <x:v>Metric</x:v>
      </x:c>
      <x:c r="C1" s="12" t="str">
        <x:v>Value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15" hidden="0" customHeight="1">
      <x:c r="A2" s="22" t="str">
        <x:v>wc_percent_fs</x:v>
      </x:c>
      <x:c r="B2" s="22" t="str">
        <x:v>Worst-case total error</x:v>
      </x:c>
      <x:c r="C2" s="22"/>
      <x:c r="D2" s="22" t="str">
        <x:v>%FS</x:v>
      </x:c>
      <x:c r="E2" s="22" t="str"/>
      <x:c r="F2" s="22" t="str"/>
      <x:c r="G2" s="22" t="str">
        <x:v>missing error sources</x:v>
      </x:c>
      <x:c r="H2" s="22" t="str">
        <x:v>NOT_EVALUATED</x:v>
      </x:c>
      <x:c r="I2" s="22" t="str"/>
    </x:row>
    <x:row r="3" ht="15" hidden="0" customHeight="1">
      <x:c r="A3" s="22" t="str">
        <x:v>rss_percent_fs</x:v>
      </x:c>
      <x:c r="B3" s="22" t="str">
        <x:v>RSS total error</x:v>
      </x:c>
      <x:c r="C3" s="22"/>
      <x:c r="D3" s="22" t="str">
        <x:v>%FS</x:v>
      </x:c>
      <x:c r="E3" s="22" t="str"/>
      <x:c r="F3" s="22" t="str"/>
      <x:c r="G3" s="22" t="str">
        <x:v>missing error sources</x:v>
      </x:c>
      <x:c r="H3" s="22" t="str">
        <x:v>NOT_EVALUATED</x:v>
      </x:c>
      <x:c r="I3" s="22" t="str"/>
    </x:row>
  </x:sheetData>
  <x:conditionalFormatting sqref="H2:H3">
    <x:cfRule type="expression" dxfId="112" priority="1">
      <x:formula>H2="PASS"</x:formula>
    </x:cfRule>
    <x:cfRule type="expression" dxfId="113" priority="2">
      <x:formula>H2="WARNING"</x:formula>
    </x:cfRule>
    <x:cfRule type="expression" dxfId="114" priority="3">
      <x:formula>H2="FAIL"</x:formula>
    </x:cfRule>
    <x:cfRule type="expression" dxfId="115" priority="4">
      <x:formula>H2="NOT_EVALUATED"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f613771d4e040fc"/>
  </x:tableParts>
</x:worksheet>
</file>

<file path=xl/worksheets/sheet3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12" t="str">
        <x:v>Key</x:v>
      </x:c>
      <x:c r="B1" s="12" t="str">
        <x:v>Metric</x:v>
      </x:c>
      <x:c r="C1" s="12" t="str">
        <x:v>Value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15" hidden="0" customHeight="1">
      <x:c r="A2" s="22" t="str">
        <x:v>wc_percent_fs</x:v>
      </x:c>
      <x:c r="B2" s="22" t="str">
        <x:v>Worst-case total error</x:v>
      </x:c>
      <x:c r="C2" s="22"/>
      <x:c r="D2" s="22" t="str">
        <x:v>%FS</x:v>
      </x:c>
      <x:c r="E2" s="22" t="str"/>
      <x:c r="F2" s="22" t="str"/>
      <x:c r="G2" s="22" t="str">
        <x:v>missing error sources</x:v>
      </x:c>
      <x:c r="H2" s="22" t="str">
        <x:v>NOT_EVALUATED</x:v>
      </x:c>
      <x:c r="I2" s="22" t="str"/>
    </x:row>
    <x:row r="3" ht="15" hidden="0" customHeight="1">
      <x:c r="A3" s="22" t="str">
        <x:v>rss_percent_fs</x:v>
      </x:c>
      <x:c r="B3" s="22" t="str">
        <x:v>RSS total error</x:v>
      </x:c>
      <x:c r="C3" s="22"/>
      <x:c r="D3" s="22" t="str">
        <x:v>%FS</x:v>
      </x:c>
      <x:c r="E3" s="22" t="str"/>
      <x:c r="F3" s="22" t="str"/>
      <x:c r="G3" s="22" t="str">
        <x:v>missing error sources</x:v>
      </x:c>
      <x:c r="H3" s="22" t="str">
        <x:v>NOT_EVALUATED</x:v>
      </x:c>
      <x:c r="I3" s="22" t="str"/>
    </x:row>
  </x:sheetData>
  <x:conditionalFormatting sqref="H2:H3">
    <x:cfRule type="expression" dxfId="116" priority="1">
      <x:formula>H2="PASS"</x:formula>
    </x:cfRule>
    <x:cfRule type="expression" dxfId="117" priority="2">
      <x:formula>H2="WARNING"</x:formula>
    </x:cfRule>
    <x:cfRule type="expression" dxfId="118" priority="3">
      <x:formula>H2="FAIL"</x:formula>
    </x:cfRule>
    <x:cfRule type="expression" dxfId="119" priority="4">
      <x:formula>H2="NOT_EVALUATED"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7b4eebdb7174bf1"/>
  </x:tableParts>
</x:worksheet>
</file>

<file path=xl/worksheets/sheet3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5" max="5" width="38" hidden="0" customWidth="1"/>
    <x:col min="6" max="6" width="38" hidden="0" customWidth="1"/>
    <x:col min="9" max="9" width="32" hidden="0" customWidth="1"/>
  </x:cols>
  <x:sheetData>
    <x:row r="1" ht="15" hidden="0" customHeight="1">
      <x:c r="A1" s="12" t="str">
        <x:v>Section</x:v>
      </x:c>
      <x:c r="B1" s="12" t="str">
        <x:v>Key</x:v>
      </x:c>
      <x:c r="C1" s="12" t="str">
        <x:v>Result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26.399999618530273" hidden="0" customHeight="1">
      <x:c r="A2" s="22" t="str">
        <x:v>10_System_Rating</x:v>
      </x:c>
      <x:c r="B2" s="22" t="str">
        <x:v>phase_count</x:v>
      </x:c>
      <x:c r="C2" s="22" t="n">
        <x:v>3</x:v>
      </x:c>
      <x:c r="D2" s="22" t="str">
        <x:v>phase</x:v>
      </x:c>
      <x:c r="E2" s="22" t="str"/>
      <x:c r="F2" s="22" t="str"/>
      <x:c r="G2" s="22" t="str">
        <x:v>configuration</x:v>
      </x:c>
      <x:c r="H2" s="22" t="str">
        <x:v>PASS</x:v>
      </x:c>
      <x:c r="I2" s="22" t="str"/>
    </x:row>
    <x:row r="3" ht="26.399999618530273" hidden="0" customHeight="1">
      <x:c r="A3" s="22" t="str">
        <x:v>10_System_Rating</x:v>
      </x:c>
      <x:c r="B3" s="22" t="str">
        <x:v>ac_voltage_basis</x:v>
      </x:c>
      <x:c r="C3" s="22" t="str">
        <x:v>line_to_line</x:v>
      </x:c>
      <x:c r="D3" s="22" t="str"/>
      <x:c r="E3" s="22" t="str"/>
      <x:c r="F3" s="22" t="str"/>
      <x:c r="G3" s="22" t="str">
        <x:v>configuration</x:v>
      </x:c>
      <x:c r="H3" s="22" t="str">
        <x:v>PASS</x:v>
      </x:c>
      <x:c r="I3" s="22" t="str"/>
    </x:row>
    <x:row r="4" ht="26.399999618530273" hidden="0" customHeight="1">
      <x:c r="A4" s="22" t="str">
        <x:v>10_System_Rating</x:v>
      </x:c>
      <x:c r="B4" s="22" t="str">
        <x:v>phase_unbalance_factor</x:v>
      </x:c>
      <x:c r="C4" s="22" t="n">
        <x:v>1.05</x:v>
      </x:c>
      <x:c r="D4" s="22" t="str">
        <x:v>pu</x:v>
      </x:c>
      <x:c r="E4" s="22" t="str"/>
      <x:c r="F4" s="22" t="str"/>
      <x:c r="G4" s="22" t="str">
        <x:v>configuration</x:v>
      </x:c>
      <x:c r="H4" s="22" t="str">
        <x:v>PASS</x:v>
      </x:c>
      <x:c r="I4" s="22" t="str"/>
    </x:row>
    <x:row r="5" ht="26.399999618530273" hidden="0" customHeight="1">
      <x:c r="A5" s="22" t="str">
        <x:v>10_System_Rating</x:v>
      </x:c>
      <x:c r="B5" s="22" t="str">
        <x:v>iac_rms_max_a</x:v>
      </x:c>
      <x:c r="C5" s="22" t="n">
        <x:v>46.64648989297531</x:v>
      </x:c>
      <x:c r="D5" s="22" t="str">
        <x:v>A</x:v>
      </x:c>
      <x:c r="E5" s="22" t="str">
        <x:v>Ppeak/(sqrt(3)*VLL_min*eta*PF)*Kunbalance</x:v>
      </x:c>
      <x:c r="F5" s="22" t="str">
        <x:v>peak_power=22000.0, vac_min=304.0, efficiency=0.95, pf=0.99, unbalance=1.05</x:v>
      </x:c>
      <x:c r="G5" s="22" t="str">
        <x:v>calculated</x:v>
      </x:c>
      <x:c r="H5" s="22" t="str">
        <x:v>PASS</x:v>
      </x:c>
      <x:c r="I5" s="22" t="str"/>
    </x:row>
    <x:row r="6" ht="26.399999618530273" hidden="0" customHeight="1">
      <x:c r="A6" s="22" t="str">
        <x:v>10_System_Rating</x:v>
      </x:c>
      <x:c r="B6" s="22" t="str">
        <x:v>iac_peak_a</x:v>
      </x:c>
      <x:c r="C6" s="22" t="n">
        <x:v>65.9680986437452</x:v>
      </x:c>
      <x:c r="D6" s="22" t="str">
        <x:v>A</x:v>
      </x:c>
      <x:c r="E6" s="22" t="str">
        <x:v>sqrt(2)*Iac_rms</x:v>
      </x:c>
      <x:c r="F6" s="22" t="str"/>
      <x:c r="G6" s="22" t="str">
        <x:v>calculated</x:v>
      </x:c>
      <x:c r="H6" s="22" t="str">
        <x:v>PASS</x:v>
      </x:c>
      <x:c r="I6" s="22" t="str"/>
    </x:row>
    <x:row r="7" ht="26.399999618530273" hidden="0" customHeight="1">
      <x:c r="A7" s="22" t="str">
        <x:v>10_System_Rating</x:v>
      </x:c>
      <x:c r="B7" s="22" t="str">
        <x:v>iac_design_peak_a</x:v>
      </x:c>
      <x:c r="C7" s="22" t="n">
        <x:v>87.07789020974366</x:v>
      </x:c>
      <x:c r="D7" s="22" t="str">
        <x:v>A</x:v>
      </x:c>
      <x:c r="E7" s="22" t="str">
        <x:v>Iac_peak*Koverload*Kmargin</x:v>
      </x:c>
      <x:c r="F7" s="22" t="str">
        <x:v>overload=1.1, iac_margin=1.2</x:v>
      </x:c>
      <x:c r="G7" s="22" t="str">
        <x:v>calculated</x:v>
      </x:c>
      <x:c r="H7" s="22" t="str">
        <x:v>PASS</x:v>
      </x:c>
      <x:c r="I7" s="22" t="str"/>
    </x:row>
    <x:row r="8" ht="26.399999618530273" hidden="0" customHeight="1">
      <x:c r="A8" s="22" t="str">
        <x:v>10_System_Rating</x:v>
      </x:c>
      <x:c r="B8" s="22" t="str">
        <x:v>idc_continuous_max_a</x:v>
      </x:c>
      <x:c r="C8" s="22" t="n">
        <x:v>42.10526315789474</x:v>
      </x:c>
      <x:c r="D8" s="22" t="str">
        <x:v>A</x:v>
      </x:c>
      <x:c r="E8" s="22" t="str">
        <x:v>Ppeak/(Vdc_min*eta)</x:v>
      </x:c>
      <x:c r="F8" s="22" t="str"/>
      <x:c r="G8" s="22" t="str">
        <x:v>calculated</x:v>
      </x:c>
      <x:c r="H8" s="22" t="str">
        <x:v>PASS</x:v>
      </x:c>
      <x:c r="I8" s="22" t="str"/>
    </x:row>
    <x:row r="9" ht="26.399999618530273" hidden="0" customHeight="1">
      <x:c r="A9" s="22" t="str">
        <x:v>10_System_Rating</x:v>
      </x:c>
      <x:c r="B9" s="22" t="str">
        <x:v>idc_design_peak_a</x:v>
      </x:c>
      <x:c r="C9" s="22" t="n">
        <x:v>55.57894736842106</x:v>
      </x:c>
      <x:c r="D9" s="22" t="str">
        <x:v>A</x:v>
      </x:c>
      <x:c r="E9" s="22" t="str">
        <x:v>Idc_cont*Koverload*Kmargin</x:v>
      </x:c>
      <x:c r="F9" s="22" t="str">
        <x:v>overload=1.1, idc_margin=1.2</x:v>
      </x:c>
      <x:c r="G9" s="22" t="str">
        <x:v>calculated</x:v>
      </x:c>
      <x:c r="H9" s="22" t="str">
        <x:v>PASS</x:v>
      </x:c>
      <x:c r="I9" s="22" t="str"/>
    </x:row>
    <x:row r="10" ht="26.399999618530273" hidden="0" customHeight="1">
      <x:c r="A10" s="22" t="str">
        <x:v>10_System_Rating</x:v>
      </x:c>
      <x:c r="B10" s="22" t="str">
        <x:v>three_phase_apparent_power_va</x:v>
      </x:c>
      <x:c r="C10" s="22" t="n">
        <x:v>24561.40350877193</x:v>
      </x:c>
      <x:c r="D10" s="22" t="str">
        <x:v>VA</x:v>
      </x:c>
      <x:c r="E10" s="22" t="str">
        <x:v>sqrt(3)*VLL*Iline or 3*Vphase*Iphase</x:v>
      </x:c>
      <x:c r="F10" s="22" t="str"/>
      <x:c r="G10" s="22" t="str">
        <x:v>calculated</x:v>
      </x:c>
      <x:c r="H10" s="22" t="str">
        <x:v>PASS</x:v>
      </x:c>
      <x:c r="I10" s="22" t="str"/>
    </x:row>
    <x:row r="11" ht="26.399999618530273" hidden="0" customHeight="1">
      <x:c r="A11" s="22" t="str">
        <x:v>15_Phase_Channels</x:v>
      </x:c>
      <x:c r="B11" s="22" t="str">
        <x:v>current_phase_channels</x:v>
      </x:c>
      <x:c r="C11" s="22" t="str">
        <x:v>A, B, C</x:v>
      </x:c>
      <x:c r="D11" s="22" t="str"/>
      <x:c r="E11" s="22" t="str"/>
      <x:c r="F11" s="22" t="str"/>
      <x:c r="G11" s="22" t="str">
        <x:v>configuration</x:v>
      </x:c>
      <x:c r="H11" s="22" t="str">
        <x:v>PASS</x:v>
      </x:c>
      <x:c r="I11" s="22" t="str"/>
    </x:row>
    <x:row r="12" ht="26.399999618530273" hidden="0" customHeight="1">
      <x:c r="A12" s="22" t="str">
        <x:v>15_Phase_Channels</x:v>
      </x:c>
      <x:c r="B12" s="22" t="str">
        <x:v>voltage_phase_channels</x:v>
      </x:c>
      <x:c r="C12" s="22" t="str">
        <x:v>A, B, C</x:v>
      </x:c>
      <x:c r="D12" s="22" t="str"/>
      <x:c r="E12" s="22" t="str"/>
      <x:c r="F12" s="22" t="str"/>
      <x:c r="G12" s="22" t="str">
        <x:v>configuration</x:v>
      </x:c>
      <x:c r="H12" s="22" t="str">
        <x:v>PASS</x:v>
      </x:c>
      <x:c r="I12" s="22" t="str"/>
    </x:row>
    <x:row r="13" ht="26.399999618530273" hidden="0" customHeight="1">
      <x:c r="A13" s="22" t="str">
        <x:v>15_Phase_Channels</x:v>
      </x:c>
      <x:c r="B13" s="22" t="str">
        <x:v>voltage_measurement_basis</x:v>
      </x:c>
      <x:c r="C13" s="22" t="str">
        <x:v>phase_to_neutral</x:v>
      </x:c>
      <x:c r="D13" s="22" t="str"/>
      <x:c r="E13" s="22" t="str"/>
      <x:c r="F13" s="22" t="str"/>
      <x:c r="G13" s="22" t="str">
        <x:v>configuration</x:v>
      </x:c>
      <x:c r="H13" s="22" t="str">
        <x:v>PASS</x:v>
      </x:c>
      <x:c r="I13" s="22" t="str"/>
    </x:row>
    <x:row r="14" ht="26.399999618530273" hidden="0" customHeight="1">
      <x:c r="A14" s="22" t="str">
        <x:v>15_Phase_Channels</x:v>
      </x:c>
      <x:c r="B14" s="22" t="str">
        <x:v>current_reconstruction</x:v>
      </x:c>
      <x:c r="C14" s="22" t="str">
        <x:v>none</x:v>
      </x:c>
      <x:c r="D14" s="22" t="str"/>
      <x:c r="E14" s="22" t="str"/>
      <x:c r="F14" s="22" t="str"/>
      <x:c r="G14" s="22" t="str">
        <x:v>configuration</x:v>
      </x:c>
      <x:c r="H14" s="22" t="str">
        <x:v>PASS</x:v>
      </x:c>
      <x:c r="I14" s="22" t="str"/>
    </x:row>
    <x:row r="15" ht="15" hidden="0" customHeight="1">
      <x:c r="A15" s="22" t="str">
        <x:v>15_Phase_Channels</x:v>
      </x:c>
      <x:c r="B15" s="22" t="str">
        <x:v>physical_current_sensor_count</x:v>
      </x:c>
      <x:c r="C15" s="22" t="n">
        <x:v>3</x:v>
      </x:c>
      <x:c r="D15" s="22" t="str">
        <x:v>channel</x:v>
      </x:c>
      <x:c r="E15" s="22" t="str"/>
      <x:c r="F15" s="22" t="str"/>
      <x:c r="G15" s="22" t="str">
        <x:v>calculated</x:v>
      </x:c>
      <x:c r="H15" s="22" t="str">
        <x:v>PASS</x:v>
      </x:c>
      <x:c r="I15" s="22" t="str"/>
    </x:row>
    <x:row r="16" ht="15" hidden="0" customHeight="1">
      <x:c r="A16" s="22" t="str">
        <x:v>15_Phase_Channels</x:v>
      </x:c>
      <x:c r="B16" s="22" t="str">
        <x:v>physical_voltage_sensor_count</x:v>
      </x:c>
      <x:c r="C16" s="22" t="n">
        <x:v>3</x:v>
      </x:c>
      <x:c r="D16" s="22" t="str">
        <x:v>channel</x:v>
      </x:c>
      <x:c r="E16" s="22" t="str"/>
      <x:c r="F16" s="22" t="str"/>
      <x:c r="G16" s="22" t="str">
        <x:v>calculated</x:v>
      </x:c>
      <x:c r="H16" s="22" t="str">
        <x:v>PASS</x:v>
      </x:c>
      <x:c r="I16" s="22" t="str"/>
    </x:row>
    <x:row r="17" ht="26.399999618530273" hidden="0" customHeight="1">
      <x:c r="A17" s="22" t="str">
        <x:v>20_IAC_A</x:v>
      </x:c>
      <x:c r="B17" s="22" t="str">
        <x:v>design_current_a</x:v>
      </x:c>
      <x:c r="C17" s="22" t="n">
        <x:v>87.07789020974366</x:v>
      </x:c>
      <x:c r="D17" s="22" t="str">
        <x:v>A</x:v>
      </x:c>
      <x:c r="E17" s="22" t="str"/>
      <x:c r="F17" s="22" t="str"/>
      <x:c r="G17" s="22" t="str">
        <x:v>calculated</x:v>
      </x:c>
      <x:c r="H17" s="22" t="str">
        <x:v>PASS</x:v>
      </x:c>
      <x:c r="I17" s="22" t="str"/>
    </x:row>
    <x:row r="18" ht="15" hidden="0" customHeight="1">
      <x:c r="A18" s="22" t="str">
        <x:v>20_IAC_A</x:v>
      </x:c>
      <x:c r="B18" s="22" t="str">
        <x:v>effective_sensitivity_v_per_a</x:v>
      </x:c>
      <x:c r="C18" s="22" t="n">
        <x:v>0.0125</x:v>
      </x:c>
      <x:c r="D18" s="22" t="str">
        <x:v>V/A</x:v>
      </x:c>
      <x:c r="E18" s="22" t="str">
        <x:v>Sensor sensitivity*front-end gain</x:v>
      </x:c>
      <x:c r="F18" s="22" t="str"/>
      <x:c r="G18" s="22" t="str">
        <x:v>calculated</x:v>
      </x:c>
      <x:c r="H18" s="22" t="str">
        <x:v>PASS</x:v>
      </x:c>
      <x:c r="I18" s="22" t="str"/>
    </x:row>
    <x:row r="19" ht="26.399999618530273" hidden="0" customHeight="1">
      <x:c r="A19" s="22" t="str">
        <x:v>20_IAC_A</x:v>
      </x:c>
      <x:c r="B19" s="22" t="str">
        <x:v>maximum_sensitivity_v_per_a</x:v>
      </x:c>
      <x:c r="C19" s="22" t="n">
        <x:v>0.013206567100213455</x:v>
      </x:c>
      <x:c r="D19" s="22" t="str">
        <x:v>V/A</x:v>
      </x:c>
      <x:c r="E19" s="22" t="str">
        <x:v>min((Vzero-Vmin)/Imax,(Vmax-Vzero)/Imax)</x:v>
      </x:c>
      <x:c r="F19" s="22" t="str"/>
      <x:c r="G19" s="22" t="str">
        <x:v>calculated</x:v>
      </x:c>
      <x:c r="H19" s="22" t="str">
        <x:v>PASS</x:v>
      </x:c>
      <x:c r="I19" s="22" t="str"/>
    </x:row>
    <x:row r="20" ht="26.399999618530273" hidden="0" customHeight="1">
      <x:c r="A20" s="22" t="str">
        <x:v>20_IAC_A</x:v>
      </x:c>
      <x:c r="B20" s="22" t="str">
        <x:v>maximum_front_end_gain</x:v>
      </x:c>
      <x:c r="C20" s="22" t="n">
        <x:v>1.0565253680170763</x:v>
      </x:c>
      <x:c r="D20" s="22" t="str">
        <x:v>V/V</x:v>
      </x:c>
      <x:c r="E20" s="22" t="str">
        <x:v>Seff_max/Ssensor</x:v>
      </x:c>
      <x:c r="F20" s="22" t="str"/>
      <x:c r="G20" s="22" t="str">
        <x:v>calculated</x:v>
      </x:c>
      <x:c r="H20" s="22" t="str">
        <x:v>PASS</x:v>
      </x:c>
      <x:c r="I20" s="22" t="str"/>
    </x:row>
    <x:row r="21" ht="15" hidden="0" customHeight="1">
      <x:c r="A21" s="22" t="str">
        <x:v>20_IAC_A</x:v>
      </x:c>
      <x:c r="B21" s="22" t="str">
        <x:v>zero_adc_v</x:v>
      </x:c>
      <x:c r="C21" s="22" t="n">
        <x:v>1.65</x:v>
      </x:c>
      <x:c r="D21" s="22" t="str">
        <x:v>V</x:v>
      </x:c>
      <x:c r="E21" s="22" t="str"/>
      <x:c r="F21" s="22" t="str"/>
      <x:c r="G21" s="22" t="str">
        <x:v>calculated</x:v>
      </x:c>
      <x:c r="H21" s="22" t="str">
        <x:v>PASS</x:v>
      </x:c>
      <x:c r="I21" s="22" t="str"/>
    </x:row>
    <x:row r="22" ht="15" hidden="0" customHeight="1">
      <x:c r="A22" s="22" t="str">
        <x:v>20_IAC_A</x:v>
      </x:c>
      <x:c r="B22" s="22" t="str">
        <x:v>zero_adc_code</x:v>
      </x:c>
      <x:c r="C22" s="22" t="n">
        <x:v>2252.7999999999997</x:v>
      </x:c>
      <x:c r="D22" s="22" t="str">
        <x:v>code</x:v>
      </x:c>
      <x:c r="E22" s="22" t="str"/>
      <x:c r="F22" s="22" t="str"/>
      <x:c r="G22" s="22" t="str">
        <x:v>calculated</x:v>
      </x:c>
      <x:c r="H22" s="22" t="str">
        <x:v>PASS</x:v>
      </x:c>
      <x:c r="I22" s="22" t="str"/>
    </x:row>
    <x:row r="23" ht="26.399999618530273" hidden="0" customHeight="1">
      <x:c r="A23" s="22" t="str">
        <x:v>20_IAC_A</x:v>
      </x:c>
      <x:c r="B23" s="22" t="str">
        <x:v>adc_min_v</x:v>
      </x:c>
      <x:c r="C23" s="22" t="n">
        <x:v>0.5615263723782042</x:v>
      </x:c>
      <x:c r="D23" s="22" t="str">
        <x:v>V</x:v>
      </x:c>
      <x:c r="E23" s="22" t="str"/>
      <x:c r="F23" s="22" t="str"/>
      <x:c r="G23" s="22" t="str">
        <x:v>calculated</x:v>
      </x:c>
      <x:c r="H23" s="22" t="str">
        <x:v>PASS</x:v>
      </x:c>
      <x:c r="I23" s="22" t="str"/>
    </x:row>
    <x:row r="24" ht="26.399999618530273" hidden="0" customHeight="1">
      <x:c r="A24" s="22" t="str">
        <x:v>20_IAC_A</x:v>
      </x:c>
      <x:c r="B24" s="22" t="str">
        <x:v>adc_max_v</x:v>
      </x:c>
      <x:c r="C24" s="22" t="n">
        <x:v>2.7384736276217954</x:v>
      </x:c>
      <x:c r="D24" s="22" t="str">
        <x:v>V</x:v>
      </x:c>
      <x:c r="E24" s="22" t="str"/>
      <x:c r="F24" s="22" t="str"/>
      <x:c r="G24" s="22" t="str">
        <x:v>calculated</x:v>
      </x:c>
      <x:c r="H24" s="22" t="str">
        <x:v>PASS</x:v>
      </x:c>
      <x:c r="I24" s="22" t="str"/>
    </x:row>
    <x:row r="25" ht="26.399999618530273" hidden="0" customHeight="1">
      <x:c r="A25" s="22" t="str">
        <x:v>20_IAC_A</x:v>
      </x:c>
      <x:c r="B25" s="22" t="str">
        <x:v>adc_min_code</x:v>
      </x:c>
      <x:c r="C25" s="22" t="n">
        <x:v>766.6706737537082</x:v>
      </x:c>
      <x:c r="D25" s="22" t="str">
        <x:v>code</x:v>
      </x:c>
      <x:c r="E25" s="22" t="str"/>
      <x:c r="F25" s="22" t="str"/>
      <x:c r="G25" s="22" t="str">
        <x:v>calculated</x:v>
      </x:c>
      <x:c r="H25" s="22" t="str">
        <x:v>PASS</x:v>
      </x:c>
      <x:c r="I25" s="22" t="str"/>
    </x:row>
    <x:row r="26" ht="26.399999618530273" hidden="0" customHeight="1">
      <x:c r="A26" s="22" t="str">
        <x:v>20_IAC_A</x:v>
      </x:c>
      <x:c r="B26" s="22" t="str">
        <x:v>adc_max_code</x:v>
      </x:c>
      <x:c r="C26" s="22" t="n">
        <x:v>3738.929326246291</x:v>
      </x:c>
      <x:c r="D26" s="22" t="str">
        <x:v>code</x:v>
      </x:c>
      <x:c r="E26" s="22" t="str"/>
      <x:c r="F26" s="22" t="str"/>
      <x:c r="G26" s="22" t="str">
        <x:v>calculated</x:v>
      </x:c>
      <x:c r="H26" s="22" t="str">
        <x:v>PASS</x:v>
      </x:c>
      <x:c r="I26" s="22" t="str"/>
    </x:row>
    <x:row r="27" ht="26.399999618530273" hidden="0" customHeight="1">
      <x:c r="A27" s="22" t="str">
        <x:v>20_IAC_A</x:v>
      </x:c>
      <x:c r="B27" s="22" t="str">
        <x:v>current_per_code_a</x:v>
      </x:c>
      <x:c r="C27" s="22" t="n">
        <x:v>0.05859375</x:v>
      </x:c>
      <x:c r="D27" s="22" t="str">
        <x:v>A/code</x:v>
      </x:c>
      <x:c r="E27" s="22" t="str">
        <x:v>Vlsb/Seff</x:v>
      </x:c>
      <x:c r="F27" s="22" t="str"/>
      <x:c r="G27" s="22" t="str">
        <x:v>calculated</x:v>
      </x:c>
      <x:c r="H27" s="22" t="str">
        <x:v>PASS</x:v>
      </x:c>
      <x:c r="I27" s="22" t="str"/>
    </x:row>
    <x:row r="28" ht="26.399999618530273" hidden="0" customHeight="1">
      <x:c r="A28" s="22" t="str">
        <x:v>20_IAC_A</x:v>
      </x:c>
      <x:c r="B28" s="22" t="str">
        <x:v>adc_utilization</x:v>
      </x:c>
      <x:c r="C28" s="22" t="n">
        <x:v>0.725649085081197</x:v>
      </x:c>
      <x:c r="D28" s="22" t="str">
        <x:v>pu</x:v>
      </x:c>
      <x:c r="E28" s="22" t="str">
        <x:v>(Vmax-Vmin)/Vref</x:v>
      </x:c>
      <x:c r="F28" s="22" t="str"/>
      <x:c r="G28" s="22" t="str">
        <x:v>calculated</x:v>
      </x:c>
      <x:c r="H28" s="22" t="str">
        <x:v>PASS</x:v>
      </x:c>
      <x:c r="I28" s="22" t="str"/>
    </x:row>
    <x:row r="29" ht="26.399999618530273" hidden="0" customHeight="1">
      <x:c r="A29" s="22" t="str">
        <x:v>20_IAC_B</x:v>
      </x:c>
      <x:c r="B29" s="22" t="str">
        <x:v>design_current_a</x:v>
      </x:c>
      <x:c r="C29" s="22" t="n">
        <x:v>87.07789020974366</x:v>
      </x:c>
      <x:c r="D29" s="22" t="str">
        <x:v>A</x:v>
      </x:c>
      <x:c r="E29" s="22" t="str"/>
      <x:c r="F29" s="22" t="str"/>
      <x:c r="G29" s="22" t="str">
        <x:v>calculated</x:v>
      </x:c>
      <x:c r="H29" s="22" t="str">
        <x:v>PASS</x:v>
      </x:c>
      <x:c r="I29" s="22" t="str"/>
    </x:row>
    <x:row r="30" ht="26.399999618530273" hidden="0" customHeight="1">
      <x:c r="A30" s="22" t="str">
        <x:v>20_IAC_B</x:v>
      </x:c>
      <x:c r="B30" s="22" t="str">
        <x:v>effective_sensitivity_v_per_a</x:v>
      </x:c>
      <x:c r="C30" s="22" t="n">
        <x:v>0.012493750000000001</x:v>
      </x:c>
      <x:c r="D30" s="22" t="str">
        <x:v>V/A</x:v>
      </x:c>
      <x:c r="E30" s="22" t="str">
        <x:v>Sensor sensitivity*front-end gain</x:v>
      </x:c>
      <x:c r="F30" s="22" t="str"/>
      <x:c r="G30" s="22" t="str">
        <x:v>calculated</x:v>
      </x:c>
      <x:c r="H30" s="22" t="str">
        <x:v>PASS</x:v>
      </x:c>
      <x:c r="I30" s="22" t="str"/>
    </x:row>
    <x:row r="31" ht="26.399999618530273" hidden="0" customHeight="1">
      <x:c r="A31" s="22" t="str">
        <x:v>20_IAC_B</x:v>
      </x:c>
      <x:c r="B31" s="22" t="str">
        <x:v>maximum_sensitivity_v_per_a</x:v>
      </x:c>
      <x:c r="C31" s="22" t="n">
        <x:v>0.013216041376611433</x:v>
      </x:c>
      <x:c r="D31" s="22" t="str">
        <x:v>V/A</x:v>
      </x:c>
      <x:c r="E31" s="22" t="str">
        <x:v>min((Vzero-Vmin)/Imax,(Vmax-Vzero)/Imax)</x:v>
      </x:c>
      <x:c r="F31" s="22" t="str"/>
      <x:c r="G31" s="22" t="str">
        <x:v>calculated</x:v>
      </x:c>
      <x:c r="H31" s="22" t="str">
        <x:v>PASS</x:v>
      </x:c>
      <x:c r="I31" s="22" t="str"/>
    </x:row>
    <x:row r="32" ht="26.399999618530273" hidden="0" customHeight="1">
      <x:c r="A32" s="22" t="str">
        <x:v>20_IAC_B</x:v>
      </x:c>
      <x:c r="B32" s="22" t="str">
        <x:v>maximum_front_end_gain</x:v>
      </x:c>
      <x:c r="C32" s="22" t="n">
        <x:v>1.0572833101289145</x:v>
      </x:c>
      <x:c r="D32" s="22" t="str">
        <x:v>V/V</x:v>
      </x:c>
      <x:c r="E32" s="22" t="str">
        <x:v>Seff_max/Ssensor</x:v>
      </x:c>
      <x:c r="F32" s="22" t="str"/>
      <x:c r="G32" s="22" t="str">
        <x:v>calculated</x:v>
      </x:c>
      <x:c r="H32" s="22" t="str">
        <x:v>PASS</x:v>
      </x:c>
      <x:c r="I32" s="22" t="str"/>
    </x:row>
    <x:row r="33" ht="15" hidden="0" customHeight="1">
      <x:c r="A33" s="22" t="str">
        <x:v>20_IAC_B</x:v>
      </x:c>
      <x:c r="B33" s="22" t="str">
        <x:v>zero_adc_v</x:v>
      </x:c>
      <x:c r="C33" s="22" t="n">
        <x:v>1.649175</x:v>
      </x:c>
      <x:c r="D33" s="22" t="str">
        <x:v>V</x:v>
      </x:c>
      <x:c r="E33" s="22" t="str"/>
      <x:c r="F33" s="22" t="str"/>
      <x:c r="G33" s="22" t="str">
        <x:v>calculated</x:v>
      </x:c>
      <x:c r="H33" s="22" t="str">
        <x:v>PASS</x:v>
      </x:c>
      <x:c r="I33" s="22" t="str"/>
    </x:row>
    <x:row r="34" ht="15" hidden="0" customHeight="1">
      <x:c r="A34" s="22" t="str">
        <x:v>20_IAC_B</x:v>
      </x:c>
      <x:c r="B34" s="22" t="str">
        <x:v>zero_adc_code</x:v>
      </x:c>
      <x:c r="C34" s="22" t="n">
        <x:v>2251.6736</x:v>
      </x:c>
      <x:c r="D34" s="22" t="str">
        <x:v>code</x:v>
      </x:c>
      <x:c r="E34" s="22" t="str"/>
      <x:c r="F34" s="22" t="str"/>
      <x:c r="G34" s="22" t="str">
        <x:v>calculated</x:v>
      </x:c>
      <x:c r="H34" s="22" t="str">
        <x:v>PASS</x:v>
      </x:c>
      <x:c r="I34" s="22" t="str"/>
    </x:row>
    <x:row r="35" ht="26.399999618530273" hidden="0" customHeight="1">
      <x:c r="A35" s="22" t="str">
        <x:v>20_IAC_B</x:v>
      </x:c>
      <x:c r="B35" s="22" t="str">
        <x:v>adc_min_v</x:v>
      </x:c>
      <x:c r="C35" s="22" t="n">
        <x:v>0.561245609192015</x:v>
      </x:c>
      <x:c r="D35" s="22" t="str">
        <x:v>V</x:v>
      </x:c>
      <x:c r="E35" s="22" t="str"/>
      <x:c r="F35" s="22" t="str"/>
      <x:c r="G35" s="22" t="str">
        <x:v>calculated</x:v>
      </x:c>
      <x:c r="H35" s="22" t="str">
        <x:v>PASS</x:v>
      </x:c>
      <x:c r="I35" s="22" t="str"/>
    </x:row>
    <x:row r="36" ht="26.399999618530273" hidden="0" customHeight="1">
      <x:c r="A36" s="22" t="str">
        <x:v>20_IAC_B</x:v>
      </x:c>
      <x:c r="B36" s="22" t="str">
        <x:v>adc_max_v</x:v>
      </x:c>
      <x:c r="C36" s="22" t="n">
        <x:v>2.737104390807985</x:v>
      </x:c>
      <x:c r="D36" s="22" t="str">
        <x:v>V</x:v>
      </x:c>
      <x:c r="E36" s="22" t="str"/>
      <x:c r="F36" s="22" t="str"/>
      <x:c r="G36" s="22" t="str">
        <x:v>calculated</x:v>
      </x:c>
      <x:c r="H36" s="22" t="str">
        <x:v>PASS</x:v>
      </x:c>
      <x:c r="I36" s="22" t="str"/>
    </x:row>
    <x:row r="37" ht="26.399999618530273" hidden="0" customHeight="1">
      <x:c r="A37" s="22" t="str">
        <x:v>20_IAC_B</x:v>
      </x:c>
      <x:c r="B37" s="22" t="str">
        <x:v>adc_min_code</x:v>
      </x:c>
      <x:c r="C37" s="22" t="n">
        <x:v>766.2873384168312</x:v>
      </x:c>
      <x:c r="D37" s="22" t="str">
        <x:v>code</x:v>
      </x:c>
      <x:c r="E37" s="22" t="str"/>
      <x:c r="F37" s="22" t="str"/>
      <x:c r="G37" s="22" t="str">
        <x:v>calculated</x:v>
      </x:c>
      <x:c r="H37" s="22" t="str">
        <x:v>PASS</x:v>
      </x:c>
      <x:c r="I37" s="22" t="str"/>
    </x:row>
    <x:row r="38" ht="26.399999618530273" hidden="0" customHeight="1">
      <x:c r="A38" s="22" t="str">
        <x:v>20_IAC_B</x:v>
      </x:c>
      <x:c r="B38" s="22" t="str">
        <x:v>adc_max_code</x:v>
      </x:c>
      <x:c r="C38" s="22" t="n">
        <x:v>3737.059861583169</x:v>
      </x:c>
      <x:c r="D38" s="22" t="str">
        <x:v>code</x:v>
      </x:c>
      <x:c r="E38" s="22" t="str"/>
      <x:c r="F38" s="22" t="str"/>
      <x:c r="G38" s="22" t="str">
        <x:v>calculated</x:v>
      </x:c>
      <x:c r="H38" s="22" t="str">
        <x:v>PASS</x:v>
      </x:c>
      <x:c r="I38" s="22" t="str"/>
    </x:row>
    <x:row r="39" ht="26.399999618530273" hidden="0" customHeight="1">
      <x:c r="A39" s="22" t="str">
        <x:v>20_IAC_B</x:v>
      </x:c>
      <x:c r="B39" s="22" t="str">
        <x:v>current_per_code_a</x:v>
      </x:c>
      <x:c r="C39" s="22" t="n">
        <x:v>0.05862306153076537</x:v>
      </x:c>
      <x:c r="D39" s="22" t="str">
        <x:v>A/code</x:v>
      </x:c>
      <x:c r="E39" s="22" t="str">
        <x:v>Vlsb/Seff</x:v>
      </x:c>
      <x:c r="F39" s="22" t="str"/>
      <x:c r="G39" s="22" t="str">
        <x:v>calculated</x:v>
      </x:c>
      <x:c r="H39" s="22" t="str">
        <x:v>PASS</x:v>
      </x:c>
      <x:c r="I39" s="22" t="str"/>
    </x:row>
    <x:row r="40" ht="26.399999618530273" hidden="0" customHeight="1">
      <x:c r="A40" s="22" t="str">
        <x:v>20_IAC_B</x:v>
      </x:c>
      <x:c r="B40" s="22" t="str">
        <x:v>adc_utilization</x:v>
      </x:c>
      <x:c r="C40" s="22" t="n">
        <x:v>0.7252862605386566</x:v>
      </x:c>
      <x:c r="D40" s="22" t="str">
        <x:v>pu</x:v>
      </x:c>
      <x:c r="E40" s="22" t="str">
        <x:v>(Vmax-Vmin)/Vref</x:v>
      </x:c>
      <x:c r="F40" s="22" t="str"/>
      <x:c r="G40" s="22" t="str">
        <x:v>calculated</x:v>
      </x:c>
      <x:c r="H40" s="22" t="str">
        <x:v>PASS</x:v>
      </x:c>
      <x:c r="I40" s="22" t="str"/>
    </x:row>
    <x:row r="41" ht="26.399999618530273" hidden="0" customHeight="1">
      <x:c r="A41" s="22" t="str">
        <x:v>20_IAC_C</x:v>
      </x:c>
      <x:c r="B41" s="22" t="str">
        <x:v>design_current_a</x:v>
      </x:c>
      <x:c r="C41" s="22" t="n">
        <x:v>87.07789020974366</x:v>
      </x:c>
      <x:c r="D41" s="22" t="str">
        <x:v>A</x:v>
      </x:c>
      <x:c r="E41" s="22" t="str"/>
      <x:c r="F41" s="22" t="str"/>
      <x:c r="G41" s="22" t="str">
        <x:v>calculated</x:v>
      </x:c>
      <x:c r="H41" s="22" t="str">
        <x:v>PASS</x:v>
      </x:c>
      <x:c r="I41" s="22" t="str"/>
    </x:row>
    <x:row r="42" ht="15" hidden="0" customHeight="1">
      <x:c r="A42" s="22" t="str">
        <x:v>20_IAC_C</x:v>
      </x:c>
      <x:c r="B42" s="22" t="str">
        <x:v>effective_sensitivity_v_per_a</x:v>
      </x:c>
      <x:c r="C42" s="22" t="n">
        <x:v>0.012505</x:v>
      </x:c>
      <x:c r="D42" s="22" t="str">
        <x:v>V/A</x:v>
      </x:c>
      <x:c r="E42" s="22" t="str">
        <x:v>Sensor sensitivity*front-end gain</x:v>
      </x:c>
      <x:c r="F42" s="22" t="str"/>
      <x:c r="G42" s="22" t="str">
        <x:v>calculated</x:v>
      </x:c>
      <x:c r="H42" s="22" t="str">
        <x:v>PASS</x:v>
      </x:c>
      <x:c r="I42" s="22" t="str"/>
    </x:row>
    <x:row r="43" ht="26.399999618530273" hidden="0" customHeight="1">
      <x:c r="A43" s="22" t="str">
        <x:v>20_IAC_C</x:v>
      </x:c>
      <x:c r="B43" s="22" t="str">
        <x:v>maximum_sensitivity_v_per_a</x:v>
      </x:c>
      <x:c r="C43" s="22" t="n">
        <x:v>0.013198987679095072</x:v>
      </x:c>
      <x:c r="D43" s="22" t="str">
        <x:v>V/A</x:v>
      </x:c>
      <x:c r="E43" s="22" t="str">
        <x:v>min((Vzero-Vmin)/Imax,(Vmax-Vzero)/Imax)</x:v>
      </x:c>
      <x:c r="F43" s="22" t="str"/>
      <x:c r="G43" s="22" t="str">
        <x:v>calculated</x:v>
      </x:c>
      <x:c r="H43" s="22" t="str">
        <x:v>PASS</x:v>
      </x:c>
      <x:c r="I43" s="22" t="str"/>
    </x:row>
    <x:row r="44" ht="26.399999618530273" hidden="0" customHeight="1">
      <x:c r="A44" s="22" t="str">
        <x:v>20_IAC_C</x:v>
      </x:c>
      <x:c r="B44" s="22" t="str">
        <x:v>maximum_front_end_gain</x:v>
      </x:c>
      <x:c r="C44" s="22" t="n">
        <x:v>1.0559190143276058</x:v>
      </x:c>
      <x:c r="D44" s="22" t="str">
        <x:v>V/V</x:v>
      </x:c>
      <x:c r="E44" s="22" t="str">
        <x:v>Seff_max/Ssensor</x:v>
      </x:c>
      <x:c r="F44" s="22" t="str"/>
      <x:c r="G44" s="22" t="str">
        <x:v>calculated</x:v>
      </x:c>
      <x:c r="H44" s="22" t="str">
        <x:v>PASS</x:v>
      </x:c>
      <x:c r="I44" s="22" t="str"/>
    </x:row>
    <x:row r="45" ht="15" hidden="0" customHeight="1">
      <x:c r="A45" s="22" t="str">
        <x:v>20_IAC_C</x:v>
      </x:c>
      <x:c r="B45" s="22" t="str">
        <x:v>zero_adc_v</x:v>
      </x:c>
      <x:c r="C45" s="22" t="n">
        <x:v>1.6506599999999998</x:v>
      </x:c>
      <x:c r="D45" s="22" t="str">
        <x:v>V</x:v>
      </x:c>
      <x:c r="E45" s="22" t="str"/>
      <x:c r="F45" s="22" t="str"/>
      <x:c r="G45" s="22" t="str">
        <x:v>calculated</x:v>
      </x:c>
      <x:c r="H45" s="22" t="str">
        <x:v>PASS</x:v>
      </x:c>
      <x:c r="I45" s="22" t="str"/>
    </x:row>
    <x:row r="46" ht="26.399999618530273" hidden="0" customHeight="1">
      <x:c r="A46" s="22" t="str">
        <x:v>20_IAC_C</x:v>
      </x:c>
      <x:c r="B46" s="22" t="str">
        <x:v>zero_adc_code</x:v>
      </x:c>
      <x:c r="C46" s="22" t="n">
        <x:v>2253.7011199999997</x:v>
      </x:c>
      <x:c r="D46" s="22" t="str">
        <x:v>code</x:v>
      </x:c>
      <x:c r="E46" s="22" t="str"/>
      <x:c r="F46" s="22" t="str"/>
      <x:c r="G46" s="22" t="str">
        <x:v>calculated</x:v>
      </x:c>
      <x:c r="H46" s="22" t="str">
        <x:v>PASS</x:v>
      </x:c>
      <x:c r="I46" s="22" t="str"/>
    </x:row>
    <x:row r="47" ht="26.399999618530273" hidden="0" customHeight="1">
      <x:c r="A47" s="22" t="str">
        <x:v>20_IAC_C</x:v>
      </x:c>
      <x:c r="B47" s="22" t="str">
        <x:v>adc_min_v</x:v>
      </x:c>
      <x:c r="C47" s="22" t="n">
        <x:v>0.5617509829271554</x:v>
      </x:c>
      <x:c r="D47" s="22" t="str">
        <x:v>V</x:v>
      </x:c>
      <x:c r="E47" s="22" t="str"/>
      <x:c r="F47" s="22" t="str"/>
      <x:c r="G47" s="22" t="str">
        <x:v>calculated</x:v>
      </x:c>
      <x:c r="H47" s="22" t="str">
        <x:v>PASS</x:v>
      </x:c>
      <x:c r="I47" s="22" t="str"/>
    </x:row>
    <x:row r="48" ht="26.399999618530273" hidden="0" customHeight="1">
      <x:c r="A48" s="22" t="str">
        <x:v>20_IAC_C</x:v>
      </x:c>
      <x:c r="B48" s="22" t="str">
        <x:v>adc_max_v</x:v>
      </x:c>
      <x:c r="C48" s="22" t="n">
        <x:v>2.739569017072844</x:v>
      </x:c>
      <x:c r="D48" s="22" t="str">
        <x:v>V</x:v>
      </x:c>
      <x:c r="E48" s="22" t="str"/>
      <x:c r="F48" s="22" t="str"/>
      <x:c r="G48" s="22" t="str">
        <x:v>calculated</x:v>
      </x:c>
      <x:c r="H48" s="22" t="str">
        <x:v>PASS</x:v>
      </x:c>
      <x:c r="I48" s="22" t="str"/>
    </x:row>
    <x:row r="49" ht="26.399999618530273" hidden="0" customHeight="1">
      <x:c r="A49" s="22" t="str">
        <x:v>20_IAC_C</x:v>
      </x:c>
      <x:c r="B49" s="22" t="str">
        <x:v>adc_min_code</x:v>
      </x:c>
      <x:c r="C49" s="22" t="n">
        <x:v>766.9773420232095</x:v>
      </x:c>
      <x:c r="D49" s="22" t="str">
        <x:v>code</x:v>
      </x:c>
      <x:c r="E49" s="22" t="str"/>
      <x:c r="F49" s="22" t="str"/>
      <x:c r="G49" s="22" t="str">
        <x:v>calculated</x:v>
      </x:c>
      <x:c r="H49" s="22" t="str">
        <x:v>PASS</x:v>
      </x:c>
      <x:c r="I49" s="22" t="str"/>
    </x:row>
    <x:row r="50" ht="26.399999618530273" hidden="0" customHeight="1">
      <x:c r="A50" s="22" t="str">
        <x:v>20_IAC_C</x:v>
      </x:c>
      <x:c r="B50" s="22" t="str">
        <x:v>adc_max_code</x:v>
      </x:c>
      <x:c r="C50" s="22" t="n">
        <x:v>3740.4248979767895</x:v>
      </x:c>
      <x:c r="D50" s="22" t="str">
        <x:v>code</x:v>
      </x:c>
      <x:c r="E50" s="22" t="str"/>
      <x:c r="F50" s="22" t="str"/>
      <x:c r="G50" s="22" t="str">
        <x:v>calculated</x:v>
      </x:c>
      <x:c r="H50" s="22" t="str">
        <x:v>PASS</x:v>
      </x:c>
      <x:c r="I50" s="22" t="str"/>
    </x:row>
    <x:row r="51" ht="26.399999618530273" hidden="0" customHeight="1">
      <x:c r="A51" s="22" t="str">
        <x:v>20_IAC_C</x:v>
      </x:c>
      <x:c r="B51" s="22" t="str">
        <x:v>current_per_code_a</x:v>
      </x:c>
      <x:c r="C51" s="22" t="n">
        <x:v>0.058570321871251496</x:v>
      </x:c>
      <x:c r="D51" s="22" t="str">
        <x:v>A/code</x:v>
      </x:c>
      <x:c r="E51" s="22" t="str">
        <x:v>Vlsb/Seff</x:v>
      </x:c>
      <x:c r="F51" s="22" t="str"/>
      <x:c r="G51" s="22" t="str">
        <x:v>calculated</x:v>
      </x:c>
      <x:c r="H51" s="22" t="str">
        <x:v>PASS</x:v>
      </x:c>
      <x:c r="I51" s="22" t="str"/>
    </x:row>
    <x:row r="52" ht="26.399999618530273" hidden="0" customHeight="1">
      <x:c r="A52" s="22" t="str">
        <x:v>20_IAC_C</x:v>
      </x:c>
      <x:c r="B52" s="22" t="str">
        <x:v>adc_utilization</x:v>
      </x:c>
      <x:c r="C52" s="22" t="n">
        <x:v>0.7259393447152295</x:v>
      </x:c>
      <x:c r="D52" s="22" t="str">
        <x:v>pu</x:v>
      </x:c>
      <x:c r="E52" s="22" t="str">
        <x:v>(Vmax-Vmin)/Vref</x:v>
      </x:c>
      <x:c r="F52" s="22" t="str"/>
      <x:c r="G52" s="22" t="str">
        <x:v>calculated</x:v>
      </x:c>
      <x:c r="H52" s="22" t="str">
        <x:v>PASS</x:v>
      </x:c>
      <x:c r="I52" s="22" t="str"/>
    </x:row>
    <x:row r="53" ht="26.399999618530273" hidden="0" customHeight="1">
      <x:c r="A53" s="22" t="str">
        <x:v>21_IAC_A_Filter</x:v>
      </x:c>
      <x:c r="B53" s="22" t="str">
        <x:v>rc_cutoff_hz</x:v>
      </x:c>
      <x:c r="C53" s="22" t="n">
        <x:v>159154.94309189534</x:v>
      </x:c>
      <x:c r="D53" s="22" t="str">
        <x:v>Hz</x:v>
      </x:c>
      <x:c r="E53" s="22" t="str">
        <x:v>1/(2*pi*R*C)</x:v>
      </x:c>
      <x:c r="F53" s="22" t="str"/>
      <x:c r="G53" s="22" t="str">
        <x:v>calculated</x:v>
      </x:c>
      <x:c r="H53" s="22" t="str">
        <x:v>PASS</x:v>
      </x:c>
      <x:c r="I53" s="22" t="str"/>
    </x:row>
    <x:row r="54" ht="26.399999618530273" hidden="0" customHeight="1">
      <x:c r="A54" s="22" t="str">
        <x:v>21_IAC_A_Filter</x:v>
      </x:c>
      <x:c r="B54" s="22" t="str">
        <x:v>effective_bandwidth_hz</x:v>
      </x:c>
      <x:c r="C54" s="22" t="n">
        <x:v>159154.94309189534</x:v>
      </x:c>
      <x:c r="D54" s="22" t="str">
        <x:v>Hz</x:v>
      </x:c>
      <x:c r="E54" s="22" t="str">
        <x:v>min(RC cutoff, sensor bandwidth)</x:v>
      </x:c>
      <x:c r="F54" s="22" t="str"/>
      <x:c r="G54" s="22" t="str">
        <x:v>calculated</x:v>
      </x:c>
      <x:c r="H54" s="22" t="str">
        <x:v>PASS</x:v>
      </x:c>
      <x:c r="I54" s="22" t="str"/>
    </x:row>
    <x:row r="55" ht="15" hidden="0" customHeight="1">
      <x:c r="A55" s="22" t="str">
        <x:v>21_IAC_A_Filter</x:v>
      </x:c>
      <x:c r="B55" s="22" t="str">
        <x:v>required_bandwidth_hz</x:v>
      </x:c>
      <x:c r="C55" s="22" t="n">
        <x:v>15000</x:v>
      </x:c>
      <x:c r="D55" s="22" t="str">
        <x:v>Hz</x:v>
      </x:c>
      <x:c r="E55" s="22" t="str">
        <x:v>max(Kbw*floop, floop/tan(phi_budget))</x:v>
      </x:c>
      <x:c r="F55" s="22" t="str"/>
      <x:c r="G55" s="22" t="str">
        <x:v>calculated</x:v>
      </x:c>
      <x:c r="H55" s="22" t="str">
        <x:v>PASS</x:v>
      </x:c>
      <x:c r="I55" s="22" t="str"/>
    </x:row>
    <x:row r="56" ht="26.399999618530273" hidden="0" customHeight="1">
      <x:c r="A56" s="22" t="str">
        <x:v>21_IAC_A_Filter</x:v>
      </x:c>
      <x:c r="B56" s="22" t="str">
        <x:v>loop_gain_ratio</x:v>
      </x:c>
      <x:c r="C56" s="22" t="n">
        <x:v>0.9998223944475859</x:v>
      </x:c>
      <x:c r="D56" s="22" t="str">
        <x:v>pu</x:v>
      </x:c>
      <x:c r="E56" s="22" t="str">
        <x:v>1/sqrt(1+(floop/fc)^2)</x:v>
      </x:c>
      <x:c r="F56" s="22" t="str"/>
      <x:c r="G56" s="22" t="str">
        <x:v>calculated</x:v>
      </x:c>
      <x:c r="H56" s="22" t="str">
        <x:v>PASS</x:v>
      </x:c>
      <x:c r="I56" s="22" t="str"/>
    </x:row>
    <x:row r="57" ht="26.399999618530273" hidden="0" customHeight="1">
      <x:c r="A57" s="22" t="str">
        <x:v>21_IAC_A_Filter</x:v>
      </x:c>
      <x:c r="B57" s="22" t="str">
        <x:v>loop_phase_loss_deg</x:v>
      </x:c>
      <x:c r="C57" s="22" t="n">
        <x:v>1.0798721171883547</x:v>
      </x:c>
      <x:c r="D57" s="22" t="str">
        <x:v>deg</x:v>
      </x:c>
      <x:c r="E57" s="22" t="str">
        <x:v>atan(floop/fc)</x:v>
      </x:c>
      <x:c r="F57" s="22" t="str"/>
      <x:c r="G57" s="22" t="str">
        <x:v>calculated</x:v>
      </x:c>
      <x:c r="H57" s="22" t="str">
        <x:v>PASS</x:v>
      </x:c>
      <x:c r="I57" s="22" t="str"/>
    </x:row>
    <x:row r="58" ht="26.399999618530273" hidden="0" customHeight="1">
      <x:c r="A58" s="22" t="str">
        <x:v>21_IAC_A_Filter</x:v>
      </x:c>
      <x:c r="B58" s="22" t="str">
        <x:v>switching_attenuation_db</x:v>
      </x:c>
      <x:c r="C58" s="22" t="n">
        <x:v>-1.4450701162052872</x:v>
      </x:c>
      <x:c r="D58" s="22" t="str">
        <x:v>dB</x:v>
      </x:c>
      <x:c r="E58" s="22" t="str">
        <x:v>-10*log10(1+(fsw/fc)^2)</x:v>
      </x:c>
      <x:c r="F58" s="22" t="str"/>
      <x:c r="G58" s="22" t="str">
        <x:v>calculated</x:v>
      </x:c>
      <x:c r="H58" s="22" t="str">
        <x:v>PASS</x:v>
      </x:c>
      <x:c r="I58" s="22" t="str"/>
    </x:row>
    <x:row r="59" ht="26.399999618530273" hidden="0" customHeight="1">
      <x:c r="A59" s="22" t="str">
        <x:v>21_IAC_B_Filter</x:v>
      </x:c>
      <x:c r="B59" s="22" t="str">
        <x:v>rc_cutoff_hz</x:v>
      </x:c>
      <x:c r="C59" s="22" t="n">
        <x:v>159154.94309189534</x:v>
      </x:c>
      <x:c r="D59" s="22" t="str">
        <x:v>Hz</x:v>
      </x:c>
      <x:c r="E59" s="22" t="str">
        <x:v>1/(2*pi*R*C)</x:v>
      </x:c>
      <x:c r="F59" s="22" t="str"/>
      <x:c r="G59" s="22" t="str">
        <x:v>calculated</x:v>
      </x:c>
      <x:c r="H59" s="22" t="str">
        <x:v>PASS</x:v>
      </x:c>
      <x:c r="I59" s="22" t="str"/>
    </x:row>
    <x:row r="60" ht="26.399999618530273" hidden="0" customHeight="1">
      <x:c r="A60" s="22" t="str">
        <x:v>21_IAC_B_Filter</x:v>
      </x:c>
      <x:c r="B60" s="22" t="str">
        <x:v>effective_bandwidth_hz</x:v>
      </x:c>
      <x:c r="C60" s="22" t="n">
        <x:v>159154.94309189534</x:v>
      </x:c>
      <x:c r="D60" s="22" t="str">
        <x:v>Hz</x:v>
      </x:c>
      <x:c r="E60" s="22" t="str">
        <x:v>min(RC cutoff, sensor bandwidth)</x:v>
      </x:c>
      <x:c r="F60" s="22" t="str"/>
      <x:c r="G60" s="22" t="str">
        <x:v>calculated</x:v>
      </x:c>
      <x:c r="H60" s="22" t="str">
        <x:v>PASS</x:v>
      </x:c>
      <x:c r="I60" s="22" t="str"/>
    </x:row>
    <x:row r="61" ht="15" hidden="0" customHeight="1">
      <x:c r="A61" s="22" t="str">
        <x:v>21_IAC_B_Filter</x:v>
      </x:c>
      <x:c r="B61" s="22" t="str">
        <x:v>required_bandwidth_hz</x:v>
      </x:c>
      <x:c r="C61" s="22" t="n">
        <x:v>15000</x:v>
      </x:c>
      <x:c r="D61" s="22" t="str">
        <x:v>Hz</x:v>
      </x:c>
      <x:c r="E61" s="22" t="str">
        <x:v>max(Kbw*floop, floop/tan(phi_budget))</x:v>
      </x:c>
      <x:c r="F61" s="22" t="str"/>
      <x:c r="G61" s="22" t="str">
        <x:v>calculated</x:v>
      </x:c>
      <x:c r="H61" s="22" t="str">
        <x:v>PASS</x:v>
      </x:c>
      <x:c r="I61" s="22" t="str"/>
    </x:row>
    <x:row r="62" ht="26.399999618530273" hidden="0" customHeight="1">
      <x:c r="A62" s="22" t="str">
        <x:v>21_IAC_B_Filter</x:v>
      </x:c>
      <x:c r="B62" s="22" t="str">
        <x:v>loop_gain_ratio</x:v>
      </x:c>
      <x:c r="C62" s="22" t="n">
        <x:v>0.9998223944475859</x:v>
      </x:c>
      <x:c r="D62" s="22" t="str">
        <x:v>pu</x:v>
      </x:c>
      <x:c r="E62" s="22" t="str">
        <x:v>1/sqrt(1+(floop/fc)^2)</x:v>
      </x:c>
      <x:c r="F62" s="22" t="str"/>
      <x:c r="G62" s="22" t="str">
        <x:v>calculated</x:v>
      </x:c>
      <x:c r="H62" s="22" t="str">
        <x:v>PASS</x:v>
      </x:c>
      <x:c r="I62" s="22" t="str"/>
    </x:row>
    <x:row r="63" ht="26.399999618530273" hidden="0" customHeight="1">
      <x:c r="A63" s="22" t="str">
        <x:v>21_IAC_B_Filter</x:v>
      </x:c>
      <x:c r="B63" s="22" t="str">
        <x:v>loop_phase_loss_deg</x:v>
      </x:c>
      <x:c r="C63" s="22" t="n">
        <x:v>1.0798721171883547</x:v>
      </x:c>
      <x:c r="D63" s="22" t="str">
        <x:v>deg</x:v>
      </x:c>
      <x:c r="E63" s="22" t="str">
        <x:v>atan(floop/fc)</x:v>
      </x:c>
      <x:c r="F63" s="22" t="str"/>
      <x:c r="G63" s="22" t="str">
        <x:v>calculated</x:v>
      </x:c>
      <x:c r="H63" s="22" t="str">
        <x:v>PASS</x:v>
      </x:c>
      <x:c r="I63" s="22" t="str"/>
    </x:row>
    <x:row r="64" ht="26.399999618530273" hidden="0" customHeight="1">
      <x:c r="A64" s="22" t="str">
        <x:v>21_IAC_B_Filter</x:v>
      </x:c>
      <x:c r="B64" s="22" t="str">
        <x:v>switching_attenuation_db</x:v>
      </x:c>
      <x:c r="C64" s="22" t="n">
        <x:v>-1.4450701162052872</x:v>
      </x:c>
      <x:c r="D64" s="22" t="str">
        <x:v>dB</x:v>
      </x:c>
      <x:c r="E64" s="22" t="str">
        <x:v>-10*log10(1+(fsw/fc)^2)</x:v>
      </x:c>
      <x:c r="F64" s="22" t="str"/>
      <x:c r="G64" s="22" t="str">
        <x:v>calculated</x:v>
      </x:c>
      <x:c r="H64" s="22" t="str">
        <x:v>PASS</x:v>
      </x:c>
      <x:c r="I64" s="22" t="str"/>
    </x:row>
    <x:row r="65" ht="26.399999618530273" hidden="0" customHeight="1">
      <x:c r="A65" s="22" t="str">
        <x:v>21_IAC_C_Filter</x:v>
      </x:c>
      <x:c r="B65" s="22" t="str">
        <x:v>rc_cutoff_hz</x:v>
      </x:c>
      <x:c r="C65" s="22" t="n">
        <x:v>159154.94309189534</x:v>
      </x:c>
      <x:c r="D65" s="22" t="str">
        <x:v>Hz</x:v>
      </x:c>
      <x:c r="E65" s="22" t="str">
        <x:v>1/(2*pi*R*C)</x:v>
      </x:c>
      <x:c r="F65" s="22" t="str"/>
      <x:c r="G65" s="22" t="str">
        <x:v>calculated</x:v>
      </x:c>
      <x:c r="H65" s="22" t="str">
        <x:v>PASS</x:v>
      </x:c>
      <x:c r="I65" s="22" t="str"/>
    </x:row>
    <x:row r="66" ht="26.399999618530273" hidden="0" customHeight="1">
      <x:c r="A66" s="22" t="str">
        <x:v>21_IAC_C_Filter</x:v>
      </x:c>
      <x:c r="B66" s="22" t="str">
        <x:v>effective_bandwidth_hz</x:v>
      </x:c>
      <x:c r="C66" s="22" t="n">
        <x:v>159154.94309189534</x:v>
      </x:c>
      <x:c r="D66" s="22" t="str">
        <x:v>Hz</x:v>
      </x:c>
      <x:c r="E66" s="22" t="str">
        <x:v>min(RC cutoff, sensor bandwidth)</x:v>
      </x:c>
      <x:c r="F66" s="22" t="str"/>
      <x:c r="G66" s="22" t="str">
        <x:v>calculated</x:v>
      </x:c>
      <x:c r="H66" s="22" t="str">
        <x:v>PASS</x:v>
      </x:c>
      <x:c r="I66" s="22" t="str"/>
    </x:row>
    <x:row r="67" ht="15" hidden="0" customHeight="1">
      <x:c r="A67" s="22" t="str">
        <x:v>21_IAC_C_Filter</x:v>
      </x:c>
      <x:c r="B67" s="22" t="str">
        <x:v>required_bandwidth_hz</x:v>
      </x:c>
      <x:c r="C67" s="22" t="n">
        <x:v>15000</x:v>
      </x:c>
      <x:c r="D67" s="22" t="str">
        <x:v>Hz</x:v>
      </x:c>
      <x:c r="E67" s="22" t="str">
        <x:v>max(Kbw*floop, floop/tan(phi_budget))</x:v>
      </x:c>
      <x:c r="F67" s="22" t="str"/>
      <x:c r="G67" s="22" t="str">
        <x:v>calculated</x:v>
      </x:c>
      <x:c r="H67" s="22" t="str">
        <x:v>PASS</x:v>
      </x:c>
      <x:c r="I67" s="22" t="str"/>
    </x:row>
    <x:row r="68" ht="26.399999618530273" hidden="0" customHeight="1">
      <x:c r="A68" s="22" t="str">
        <x:v>21_IAC_C_Filter</x:v>
      </x:c>
      <x:c r="B68" s="22" t="str">
        <x:v>loop_gain_ratio</x:v>
      </x:c>
      <x:c r="C68" s="22" t="n">
        <x:v>0.9998223944475859</x:v>
      </x:c>
      <x:c r="D68" s="22" t="str">
        <x:v>pu</x:v>
      </x:c>
      <x:c r="E68" s="22" t="str">
        <x:v>1/sqrt(1+(floop/fc)^2)</x:v>
      </x:c>
      <x:c r="F68" s="22" t="str"/>
      <x:c r="G68" s="22" t="str">
        <x:v>calculated</x:v>
      </x:c>
      <x:c r="H68" s="22" t="str">
        <x:v>PASS</x:v>
      </x:c>
      <x:c r="I68" s="22" t="str"/>
    </x:row>
    <x:row r="69" ht="26.399999618530273" hidden="0" customHeight="1">
      <x:c r="A69" s="22" t="str">
        <x:v>21_IAC_C_Filter</x:v>
      </x:c>
      <x:c r="B69" s="22" t="str">
        <x:v>loop_phase_loss_deg</x:v>
      </x:c>
      <x:c r="C69" s="22" t="n">
        <x:v>1.0798721171883547</x:v>
      </x:c>
      <x:c r="D69" s="22" t="str">
        <x:v>deg</x:v>
      </x:c>
      <x:c r="E69" s="22" t="str">
        <x:v>atan(floop/fc)</x:v>
      </x:c>
      <x:c r="F69" s="22" t="str"/>
      <x:c r="G69" s="22" t="str">
        <x:v>calculated</x:v>
      </x:c>
      <x:c r="H69" s="22" t="str">
        <x:v>PASS</x:v>
      </x:c>
      <x:c r="I69" s="22" t="str"/>
    </x:row>
    <x:row r="70" ht="26.399999618530273" hidden="0" customHeight="1">
      <x:c r="A70" s="22" t="str">
        <x:v>21_IAC_C_Filter</x:v>
      </x:c>
      <x:c r="B70" s="22" t="str">
        <x:v>switching_attenuation_db</x:v>
      </x:c>
      <x:c r="C70" s="22" t="n">
        <x:v>-1.4450701162052872</x:v>
      </x:c>
      <x:c r="D70" s="22" t="str">
        <x:v>dB</x:v>
      </x:c>
      <x:c r="E70" s="22" t="str">
        <x:v>-10*log10(1+(fsw/fc)^2)</x:v>
      </x:c>
      <x:c r="F70" s="22" t="str"/>
      <x:c r="G70" s="22" t="str">
        <x:v>calculated</x:v>
      </x:c>
      <x:c r="H70" s="22" t="str">
        <x:v>PASS</x:v>
      </x:c>
      <x:c r="I70" s="22" t="str"/>
    </x:row>
    <x:row r="71" ht="26.399999618530273" hidden="0" customHeight="1">
      <x:c r="A71" s="22" t="str">
        <x:v>40_VAC_A</x:v>
      </x:c>
      <x:c r="B71" s="22" t="str">
        <x:v>vac_design_peak_v</x:v>
      </x:c>
      <x:c r="C71" s="22" t="n">
        <x:v>450.7061126721048</x:v>
      </x:c>
      <x:c r="D71" s="22" t="str">
        <x:v>V</x:v>
      </x:c>
      <x:c r="E71" s="22" t="str">
        <x:v>Vac_rms_max*sqrt(2)*Kmargin</x:v>
      </x:c>
      <x:c r="F71" s="22" t="str"/>
      <x:c r="G71" s="22" t="str">
        <x:v>calculated</x:v>
      </x:c>
      <x:c r="H71" s="22" t="str">
        <x:v>PASS</x:v>
      </x:c>
      <x:c r="I71" s="22" t="str"/>
    </x:row>
    <x:row r="72" ht="26.399999618530273" hidden="0" customHeight="1">
      <x:c r="A72" s="22" t="str">
        <x:v>40_VAC_A</x:v>
      </x:c>
      <x:c r="B72" s="22" t="str">
        <x:v>divider_ratio</x:v>
      </x:c>
      <x:c r="C72" s="22" t="n">
        <x:v>0.0018299783729828648</x:v>
      </x:c>
      <x:c r="D72" s="22" t="str">
        <x:v>V/V</x:v>
      </x:c>
      <x:c r="E72" s="22" t="str">
        <x:v>Rbottom/(Rtop+Rbottom)</x:v>
      </x:c>
      <x:c r="F72" s="22" t="str"/>
      <x:c r="G72" s="22" t="str">
        <x:v>calculated</x:v>
      </x:c>
      <x:c r="H72" s="22" t="str">
        <x:v>PASS</x:v>
      </x:c>
      <x:c r="I72" s="22" t="str"/>
    </x:row>
    <x:row r="73" ht="26.399999618530273" hidden="0" customHeight="1">
      <x:c r="A73" s="22" t="str">
        <x:v>40_VAC_A</x:v>
      </x:c>
      <x:c r="B73" s="22" t="str">
        <x:v>isolation_input_peak_v</x:v>
      </x:c>
      <x:c r="C73" s="22" t="n">
        <x:v>0.82478243876113</x:v>
      </x:c>
      <x:c r="D73" s="22" t="str">
        <x:v>V</x:v>
      </x:c>
      <x:c r="E73" s="22" t="str">
        <x:v>Vdesign*Kdivider</x:v>
      </x:c>
      <x:c r="F73" s="22" t="str"/>
      <x:c r="G73" s="22" t="str">
        <x:v>calculated</x:v>
      </x:c>
      <x:c r="H73" s="22" t="str">
        <x:v>PASS</x:v>
      </x:c>
      <x:c r="I73" s="22" t="str"/>
    </x:row>
    <x:row r="74" ht="15" hidden="0" customHeight="1">
      <x:c r="A74" s="22" t="str">
        <x:v>40_VAC_A</x:v>
      </x:c>
      <x:c r="B74" s="22" t="str">
        <x:v>isolation_linear_limit_v</x:v>
      </x:c>
      <x:c r="C74" s="22" t="n">
        <x:v>1</x:v>
      </x:c>
      <x:c r="D74" s="22" t="str">
        <x:v>V</x:v>
      </x:c>
      <x:c r="E74" s="22" t="str"/>
      <x:c r="F74" s="22" t="str"/>
      <x:c r="G74" s="22" t="str">
        <x:v>calculated</x:v>
      </x:c>
      <x:c r="H74" s="22" t="str">
        <x:v>PASS</x:v>
      </x:c>
      <x:c r="I74" s="22" t="str"/>
    </x:row>
    <x:row r="75" ht="26.399999618530273" hidden="0" customHeight="1">
      <x:c r="A75" s="22" t="str">
        <x:v>40_VAC_A</x:v>
      </x:c>
      <x:c r="B75" s="22" t="str">
        <x:v>recommended_high_side_ohm</x:v>
      </x:c>
      <x:c r="C75" s="22" t="n">
        <x:v>1649289.0797977175</x:v>
      </x:c>
      <x:c r="D75" s="22" t="str">
        <x:v>ohm</x:v>
      </x:c>
      <x:c r="E75" s="22" t="str">
        <x:v>Rbottom*(Vdesign/Vtarget-1)</x:v>
      </x:c>
      <x:c r="F75" s="22" t="str"/>
      <x:c r="G75" s="22" t="str">
        <x:v>calculated</x:v>
      </x:c>
      <x:c r="H75" s="22" t="str">
        <x:v>PASS</x:v>
      </x:c>
      <x:c r="I75" s="22" t="str"/>
    </x:row>
    <x:row r="76" ht="26.399999618530273" hidden="0" customHeight="1">
      <x:c r="A76" s="22" t="str">
        <x:v>40_VAC_A</x:v>
      </x:c>
      <x:c r="B76" s="22" t="str">
        <x:v>adc_output_min_v</x:v>
      </x:c>
      <x:c r="C76" s="22" t="n">
        <x:v>0.8252175612388699</x:v>
      </x:c>
      <x:c r="D76" s="22" t="str">
        <x:v>V</x:v>
      </x:c>
      <x:c r="E76" s="22" t="str"/>
      <x:c r="F76" s="22" t="str"/>
      <x:c r="G76" s="22" t="str">
        <x:v>calculated</x:v>
      </x:c>
      <x:c r="H76" s="22" t="str">
        <x:v>PASS</x:v>
      </x:c>
      <x:c r="I76" s="22" t="str"/>
    </x:row>
    <x:row r="77" ht="26.399999618530273" hidden="0" customHeight="1">
      <x:c r="A77" s="22" t="str">
        <x:v>40_VAC_A</x:v>
      </x:c>
      <x:c r="B77" s="22" t="str">
        <x:v>adc_output_max_v</x:v>
      </x:c>
      <x:c r="C77" s="22" t="n">
        <x:v>2.47478243876113</x:v>
      </x:c>
      <x:c r="D77" s="22" t="str">
        <x:v>V</x:v>
      </x:c>
      <x:c r="E77" s="22" t="str"/>
      <x:c r="F77" s="22" t="str"/>
      <x:c r="G77" s="22" t="str">
        <x:v>calculated</x:v>
      </x:c>
      <x:c r="H77" s="22" t="str">
        <x:v>PASS</x:v>
      </x:c>
      <x:c r="I77" s="22" t="str"/>
    </x:row>
    <x:row r="78" ht="26.399999618530273" hidden="0" customHeight="1">
      <x:c r="A78" s="22" t="str">
        <x:v>40_VAC_A</x:v>
      </x:c>
      <x:c r="B78" s="22" t="str">
        <x:v>vac_per_code_v</x:v>
      </x:c>
      <x:c r="C78" s="22" t="n">
        <x:v>0.4002352627840909</x:v>
      </x:c>
      <x:c r="D78" s="22" t="str">
        <x:v>V/code</x:v>
      </x:c>
      <x:c r="E78" s="22" t="str">
        <x:v>Vlsb/(Kdivider*Gain)</x:v>
      </x:c>
      <x:c r="F78" s="22" t="str"/>
      <x:c r="G78" s="22" t="str">
        <x:v>calculated</x:v>
      </x:c>
      <x:c r="H78" s="22" t="str">
        <x:v>PASS</x:v>
      </x:c>
      <x:c r="I78" s="22" t="str"/>
    </x:row>
    <x:row r="79" ht="26.399999618530273" hidden="0" customHeight="1">
      <x:c r="A79" s="22" t="str">
        <x:v>40_VAC_A</x:v>
      </x:c>
      <x:c r="B79" s="22" t="str">
        <x:v>measurement_basis</x:v>
      </x:c>
      <x:c r="C79" s="22" t="str">
        <x:v>phase_to_neutral</x:v>
      </x:c>
      <x:c r="D79" s="22" t="str"/>
      <x:c r="E79" s="22" t="str"/>
      <x:c r="F79" s="22" t="str"/>
      <x:c r="G79" s="22" t="str">
        <x:v>configuration</x:v>
      </x:c>
      <x:c r="H79" s="22" t="str">
        <x:v>PASS</x:v>
      </x:c>
      <x:c r="I79" s="22" t="str"/>
    </x:row>
    <x:row r="80" ht="26.399999618530273" hidden="0" customHeight="1">
      <x:c r="A80" s="22" t="str">
        <x:v>40_VAC_B</x:v>
      </x:c>
      <x:c r="B80" s="22" t="str">
        <x:v>vac_design_peak_v</x:v>
      </x:c>
      <x:c r="C80" s="22" t="n">
        <x:v>450.7061126721048</x:v>
      </x:c>
      <x:c r="D80" s="22" t="str">
        <x:v>V</x:v>
      </x:c>
      <x:c r="E80" s="22" t="str">
        <x:v>Vac_rms_max*sqrt(2)*Kmargin</x:v>
      </x:c>
      <x:c r="F80" s="22" t="str"/>
      <x:c r="G80" s="22" t="str">
        <x:v>calculated</x:v>
      </x:c>
      <x:c r="H80" s="22" t="str">
        <x:v>PASS</x:v>
      </x:c>
      <x:c r="I80" s="22" t="str"/>
    </x:row>
    <x:row r="81" ht="26.399999618530273" hidden="0" customHeight="1">
      <x:c r="A81" s="22" t="str">
        <x:v>40_VAC_B</x:v>
      </x:c>
      <x:c r="B81" s="22" t="str">
        <x:v>divider_ratio</x:v>
      </x:c>
      <x:c r="C81" s="22" t="n">
        <x:v>0.0018294248485692056</x:v>
      </x:c>
      <x:c r="D81" s="22" t="str">
        <x:v>V/V</x:v>
      </x:c>
      <x:c r="E81" s="22" t="str">
        <x:v>Rbottom/(Rtop+Rbottom)</x:v>
      </x:c>
      <x:c r="F81" s="22" t="str"/>
      <x:c r="G81" s="22" t="str">
        <x:v>calculated</x:v>
      </x:c>
      <x:c r="H81" s="22" t="str">
        <x:v>PASS</x:v>
      </x:c>
      <x:c r="I81" s="22" t="str"/>
    </x:row>
    <x:row r="82" ht="26.399999618530273" hidden="0" customHeight="1">
      <x:c r="A82" s="22" t="str">
        <x:v>40_VAC_B</x:v>
      </x:c>
      <x:c r="B82" s="22" t="str">
        <x:v>isolation_input_peak_v</x:v>
      </x:c>
      <x:c r="C82" s="22" t="n">
        <x:v>0.8245329619243806</x:v>
      </x:c>
      <x:c r="D82" s="22" t="str">
        <x:v>V</x:v>
      </x:c>
      <x:c r="E82" s="22" t="str">
        <x:v>Vdesign*Kdivider</x:v>
      </x:c>
      <x:c r="F82" s="22" t="str"/>
      <x:c r="G82" s="22" t="str">
        <x:v>calculated</x:v>
      </x:c>
      <x:c r="H82" s="22" t="str">
        <x:v>PASS</x:v>
      </x:c>
      <x:c r="I82" s="22" t="str"/>
    </x:row>
    <x:row r="83" ht="15" hidden="0" customHeight="1">
      <x:c r="A83" s="22" t="str">
        <x:v>40_VAC_B</x:v>
      </x:c>
      <x:c r="B83" s="22" t="str">
        <x:v>isolation_linear_limit_v</x:v>
      </x:c>
      <x:c r="C83" s="22" t="n">
        <x:v>1</x:v>
      </x:c>
      <x:c r="D83" s="22" t="str">
        <x:v>V</x:v>
      </x:c>
      <x:c r="E83" s="22" t="str"/>
      <x:c r="F83" s="22" t="str"/>
      <x:c r="G83" s="22" t="str">
        <x:v>calculated</x:v>
      </x:c>
      <x:c r="H83" s="22" t="str">
        <x:v>PASS</x:v>
      </x:c>
      <x:c r="I83" s="22" t="str"/>
    </x:row>
    <x:row r="84" ht="26.399999618530273" hidden="0" customHeight="1">
      <x:c r="A84" s="22" t="str">
        <x:v>40_VAC_B</x:v>
      </x:c>
      <x:c r="B84" s="22" t="str">
        <x:v>recommended_high_side_ohm</x:v>
      </x:c>
      <x:c r="C84" s="22" t="n">
        <x:v>1648789.2952280818</x:v>
      </x:c>
      <x:c r="D84" s="22" t="str">
        <x:v>ohm</x:v>
      </x:c>
      <x:c r="E84" s="22" t="str">
        <x:v>Rbottom*(Vdesign/Vtarget-1)</x:v>
      </x:c>
      <x:c r="F84" s="22" t="str"/>
      <x:c r="G84" s="22" t="str">
        <x:v>calculated</x:v>
      </x:c>
      <x:c r="H84" s="22" t="str">
        <x:v>PASS</x:v>
      </x:c>
      <x:c r="I84" s="22" t="str"/>
    </x:row>
    <x:row r="85" ht="26.399999618530273" hidden="0" customHeight="1">
      <x:c r="A85" s="22" t="str">
        <x:v>40_VAC_B</x:v>
      </x:c>
      <x:c r="B85" s="22" t="str">
        <x:v>adc_output_min_v</x:v>
      </x:c>
      <x:c r="C85" s="22" t="n">
        <x:v>0.8254670380756193</x:v>
      </x:c>
      <x:c r="D85" s="22" t="str">
        <x:v>V</x:v>
      </x:c>
      <x:c r="E85" s="22" t="str"/>
      <x:c r="F85" s="22" t="str"/>
      <x:c r="G85" s="22" t="str">
        <x:v>calculated</x:v>
      </x:c>
      <x:c r="H85" s="22" t="str">
        <x:v>PASS</x:v>
      </x:c>
      <x:c r="I85" s="22" t="str"/>
    </x:row>
    <x:row r="86" ht="26.399999618530273" hidden="0" customHeight="1">
      <x:c r="A86" s="22" t="str">
        <x:v>40_VAC_B</x:v>
      </x:c>
      <x:c r="B86" s="22" t="str">
        <x:v>adc_output_max_v</x:v>
      </x:c>
      <x:c r="C86" s="22" t="n">
        <x:v>2.4745329619243805</x:v>
      </x:c>
      <x:c r="D86" s="22" t="str">
        <x:v>V</x:v>
      </x:c>
      <x:c r="E86" s="22" t="str"/>
      <x:c r="F86" s="22" t="str"/>
      <x:c r="G86" s="22" t="str">
        <x:v>calculated</x:v>
      </x:c>
      <x:c r="H86" s="22" t="str">
        <x:v>PASS</x:v>
      </x:c>
      <x:c r="I86" s="22" t="str"/>
    </x:row>
    <x:row r="87" ht="26.399999618530273" hidden="0" customHeight="1">
      <x:c r="A87" s="22" t="str">
        <x:v>40_VAC_B</x:v>
      </x:c>
      <x:c r="B87" s="22" t="str">
        <x:v>vac_per_code_v</x:v>
      </x:c>
      <x:c r="C87" s="22" t="n">
        <x:v>0.4003563609474462</x:v>
      </x:c>
      <x:c r="D87" s="22" t="str">
        <x:v>V/code</x:v>
      </x:c>
      <x:c r="E87" s="22" t="str">
        <x:v>Vlsb/(Kdivider*Gain)</x:v>
      </x:c>
      <x:c r="F87" s="22" t="str"/>
      <x:c r="G87" s="22" t="str">
        <x:v>calculated</x:v>
      </x:c>
      <x:c r="H87" s="22" t="str">
        <x:v>PASS</x:v>
      </x:c>
      <x:c r="I87" s="22" t="str"/>
    </x:row>
    <x:row r="88" ht="26.399999618530273" hidden="0" customHeight="1">
      <x:c r="A88" s="22" t="str">
        <x:v>40_VAC_B</x:v>
      </x:c>
      <x:c r="B88" s="22" t="str">
        <x:v>measurement_basis</x:v>
      </x:c>
      <x:c r="C88" s="22" t="str">
        <x:v>phase_to_neutral</x:v>
      </x:c>
      <x:c r="D88" s="22" t="str"/>
      <x:c r="E88" s="22" t="str"/>
      <x:c r="F88" s="22" t="str"/>
      <x:c r="G88" s="22" t="str">
        <x:v>configuration</x:v>
      </x:c>
      <x:c r="H88" s="22" t="str">
        <x:v>PASS</x:v>
      </x:c>
      <x:c r="I88" s="22" t="str"/>
    </x:row>
    <x:row r="89" ht="26.399999618530273" hidden="0" customHeight="1">
      <x:c r="A89" s="22" t="str">
        <x:v>40_VAC_C</x:v>
      </x:c>
      <x:c r="B89" s="22" t="str">
        <x:v>vac_design_peak_v</x:v>
      </x:c>
      <x:c r="C89" s="22" t="n">
        <x:v>450.7061126721048</x:v>
      </x:c>
      <x:c r="D89" s="22" t="str">
        <x:v>V</x:v>
      </x:c>
      <x:c r="E89" s="22" t="str">
        <x:v>Vac_rms_max*sqrt(2)*Kmargin</x:v>
      </x:c>
      <x:c r="F89" s="22" t="str"/>
      <x:c r="G89" s="22" t="str">
        <x:v>calculated</x:v>
      </x:c>
      <x:c r="H89" s="22" t="str">
        <x:v>PASS</x:v>
      </x:c>
      <x:c r="I89" s="22" t="str"/>
    </x:row>
    <x:row r="90" ht="26.399999618530273" hidden="0" customHeight="1">
      <x:c r="A90" s="22" t="str">
        <x:v>40_VAC_C</x:v>
      </x:c>
      <x:c r="B90" s="22" t="str">
        <x:v>divider_ratio</x:v>
      </x:c>
      <x:c r="C90" s="22" t="n">
        <x:v>0.0018305318967826226</x:v>
      </x:c>
      <x:c r="D90" s="22" t="str">
        <x:v>V/V</x:v>
      </x:c>
      <x:c r="E90" s="22" t="str">
        <x:v>Rbottom/(Rtop+Rbottom)</x:v>
      </x:c>
      <x:c r="F90" s="22" t="str"/>
      <x:c r="G90" s="22" t="str">
        <x:v>calculated</x:v>
      </x:c>
      <x:c r="H90" s="22" t="str">
        <x:v>PASS</x:v>
      </x:c>
      <x:c r="I90" s="22" t="str"/>
    </x:row>
    <x:row r="91" ht="26.399999618530273" hidden="0" customHeight="1">
      <x:c r="A91" s="22" t="str">
        <x:v>40_VAC_C</x:v>
      </x:c>
      <x:c r="B91" s="22" t="str">
        <x:v>isolation_input_peak_v</x:v>
      </x:c>
      <x:c r="C91" s="22" t="n">
        <x:v>0.8250319153211904</x:v>
      </x:c>
      <x:c r="D91" s="22" t="str">
        <x:v>V</x:v>
      </x:c>
      <x:c r="E91" s="22" t="str">
        <x:v>Vdesign*Kdivider</x:v>
      </x:c>
      <x:c r="F91" s="22" t="str"/>
      <x:c r="G91" s="22" t="str">
        <x:v>calculated</x:v>
      </x:c>
      <x:c r="H91" s="22" t="str">
        <x:v>PASS</x:v>
      </x:c>
      <x:c r="I91" s="22" t="str"/>
    </x:row>
    <x:row r="92" ht="15" hidden="0" customHeight="1">
      <x:c r="A92" s="22" t="str">
        <x:v>40_VAC_C</x:v>
      </x:c>
      <x:c r="B92" s="22" t="str">
        <x:v>isolation_linear_limit_v</x:v>
      </x:c>
      <x:c r="C92" s="22" t="n">
        <x:v>1</x:v>
      </x:c>
      <x:c r="D92" s="22" t="str">
        <x:v>V</x:v>
      </x:c>
      <x:c r="E92" s="22" t="str"/>
      <x:c r="F92" s="22" t="str"/>
      <x:c r="G92" s="22" t="str">
        <x:v>calculated</x:v>
      </x:c>
      <x:c r="H92" s="22" t="str">
        <x:v>PASS</x:v>
      </x:c>
      <x:c r="I92" s="22" t="str"/>
    </x:row>
    <x:row r="93" ht="26.399999618530273" hidden="0" customHeight="1">
      <x:c r="A93" s="22" t="str">
        <x:v>40_VAC_C</x:v>
      </x:c>
      <x:c r="B93" s="22" t="str">
        <x:v>recommended_high_side_ohm</x:v>
      </x:c>
      <x:c r="C93" s="22" t="n">
        <x:v>1649788.8643673533</x:v>
      </x:c>
      <x:c r="D93" s="22" t="str">
        <x:v>ohm</x:v>
      </x:c>
      <x:c r="E93" s="22" t="str">
        <x:v>Rbottom*(Vdesign/Vtarget-1)</x:v>
      </x:c>
      <x:c r="F93" s="22" t="str"/>
      <x:c r="G93" s="22" t="str">
        <x:v>calculated</x:v>
      </x:c>
      <x:c r="H93" s="22" t="str">
        <x:v>PASS</x:v>
      </x:c>
      <x:c r="I93" s="22" t="str"/>
    </x:row>
    <x:row r="94" ht="26.399999618530273" hidden="0" customHeight="1">
      <x:c r="A94" s="22" t="str">
        <x:v>40_VAC_C</x:v>
      </x:c>
      <x:c r="B94" s="22" t="str">
        <x:v>adc_output_min_v</x:v>
      </x:c>
      <x:c r="C94" s="22" t="n">
        <x:v>0.8249680846788096</x:v>
      </x:c>
      <x:c r="D94" s="22" t="str">
        <x:v>V</x:v>
      </x:c>
      <x:c r="E94" s="22" t="str"/>
      <x:c r="F94" s="22" t="str"/>
      <x:c r="G94" s="22" t="str">
        <x:v>calculated</x:v>
      </x:c>
      <x:c r="H94" s="22" t="str">
        <x:v>PASS</x:v>
      </x:c>
      <x:c r="I94" s="22" t="str"/>
    </x:row>
    <x:row r="95" ht="26.399999618530273" hidden="0" customHeight="1">
      <x:c r="A95" s="22" t="str">
        <x:v>40_VAC_C</x:v>
      </x:c>
      <x:c r="B95" s="22" t="str">
        <x:v>adc_output_max_v</x:v>
      </x:c>
      <x:c r="C95" s="22" t="n">
        <x:v>2.4750319153211904</x:v>
      </x:c>
      <x:c r="D95" s="22" t="str">
        <x:v>V</x:v>
      </x:c>
      <x:c r="E95" s="22" t="str"/>
      <x:c r="F95" s="22" t="str"/>
      <x:c r="G95" s="22" t="str">
        <x:v>calculated</x:v>
      </x:c>
      <x:c r="H95" s="22" t="str">
        <x:v>PASS</x:v>
      </x:c>
      <x:c r="I95" s="22" t="str"/>
    </x:row>
    <x:row r="96" ht="26.399999618530273" hidden="0" customHeight="1">
      <x:c r="A96" s="22" t="str">
        <x:v>40_VAC_C</x:v>
      </x:c>
      <x:c r="B96" s="22" t="str">
        <x:v>vac_per_code_v</x:v>
      </x:c>
      <x:c r="C96" s="22" t="n">
        <x:v>0.4001142379913284</x:v>
      </x:c>
      <x:c r="D96" s="22" t="str">
        <x:v>V/code</x:v>
      </x:c>
      <x:c r="E96" s="22" t="str">
        <x:v>Vlsb/(Kdivider*Gain)</x:v>
      </x:c>
      <x:c r="F96" s="22" t="str"/>
      <x:c r="G96" s="22" t="str">
        <x:v>calculated</x:v>
      </x:c>
      <x:c r="H96" s="22" t="str">
        <x:v>PASS</x:v>
      </x:c>
      <x:c r="I96" s="22" t="str"/>
    </x:row>
    <x:row r="97" ht="26.399999618530273" hidden="0" customHeight="1">
      <x:c r="A97" s="22" t="str">
        <x:v>40_VAC_C</x:v>
      </x:c>
      <x:c r="B97" s="22" t="str">
        <x:v>measurement_basis</x:v>
      </x:c>
      <x:c r="C97" s="22" t="str">
        <x:v>phase_to_neutral</x:v>
      </x:c>
      <x:c r="D97" s="22" t="str"/>
      <x:c r="E97" s="22" t="str"/>
      <x:c r="F97" s="22" t="str"/>
      <x:c r="G97" s="22" t="str">
        <x:v>configuration</x:v>
      </x:c>
      <x:c r="H97" s="22" t="str">
        <x:v>PASS</x:v>
      </x:c>
      <x:c r="I97" s="22" t="str"/>
    </x:row>
    <x:row r="98" ht="26.399999618530273" hidden="0" customHeight="1">
      <x:c r="A98" s="22" t="str">
        <x:v>42_VAC_A_Filter</x:v>
      </x:c>
      <x:c r="B98" s="22" t="str">
        <x:v>rc_cutoff_hz</x:v>
      </x:c>
      <x:c r="C98" s="22" t="n">
        <x:v>338627.5384933943</x:v>
      </x:c>
      <x:c r="D98" s="22" t="str">
        <x:v>Hz</x:v>
      </x:c>
      <x:c r="E98" s="22" t="str">
        <x:v>1/(2*pi*R*C)</x:v>
      </x:c>
      <x:c r="F98" s="22" t="str"/>
      <x:c r="G98" s="22" t="str">
        <x:v>calculated</x:v>
      </x:c>
      <x:c r="H98" s="22" t="str">
        <x:v>PASS</x:v>
      </x:c>
      <x:c r="I98" s="22" t="str"/>
    </x:row>
    <x:row r="99" ht="15" hidden="0" customHeight="1">
      <x:c r="A99" s="22" t="str">
        <x:v>42_VAC_A_Filter</x:v>
      </x:c>
      <x:c r="B99" s="22" t="str">
        <x:v>effective_bandwidth_hz</x:v>
      </x:c>
      <x:c r="C99" s="22" t="n">
        <x:v>145000</x:v>
      </x:c>
      <x:c r="D99" s="22" t="str">
        <x:v>Hz</x:v>
      </x:c>
      <x:c r="E99" s="22" t="str">
        <x:v>min(RC cutoff, sensor bandwidth)</x:v>
      </x:c>
      <x:c r="F99" s="22" t="str"/>
      <x:c r="G99" s="22" t="str">
        <x:v>calculated</x:v>
      </x:c>
      <x:c r="H99" s="22" t="str">
        <x:v>PASS</x:v>
      </x:c>
      <x:c r="I99" s="22" t="str"/>
    </x:row>
    <x:row r="100" ht="26.399999618530273" hidden="0" customHeight="1">
      <x:c r="A100" s="22" t="str">
        <x:v>42_VAC_A_Filter</x:v>
      </x:c>
      <x:c r="B100" s="22" t="str">
        <x:v>required_bandwidth_hz</x:v>
      </x:c>
      <x:c r="C100" s="22" t="n">
        <x:v>342.9015690828403</x:v>
      </x:c>
      <x:c r="D100" s="22" t="str">
        <x:v>Hz</x:v>
      </x:c>
      <x:c r="E100" s="22" t="str">
        <x:v>max(Kbw*floop, floop/tan(phi_budget))</x:v>
      </x:c>
      <x:c r="F100" s="22" t="str"/>
      <x:c r="G100" s="22" t="str">
        <x:v>calculated</x:v>
      </x:c>
      <x:c r="H100" s="22" t="str">
        <x:v>PASS</x:v>
      </x:c>
      <x:c r="I100" s="22" t="str"/>
    </x:row>
    <x:row r="101" ht="26.399999618530273" hidden="0" customHeight="1">
      <x:c r="A101" s="22" t="str">
        <x:v>42_VAC_A_Filter</x:v>
      </x:c>
      <x:c r="B101" s="22" t="str">
        <x:v>loop_gain_ratio</x:v>
      </x:c>
      <x:c r="C101" s="22" t="n">
        <x:v>0.9999999785969091</x:v>
      </x:c>
      <x:c r="D101" s="22" t="str">
        <x:v>pu</x:v>
      </x:c>
      <x:c r="E101" s="22" t="str">
        <x:v>1/sqrt(1+(floop/fc)^2)</x:v>
      </x:c>
      <x:c r="F101" s="22" t="str"/>
      <x:c r="G101" s="22" t="str">
        <x:v>calculated</x:v>
      </x:c>
      <x:c r="H101" s="22" t="str">
        <x:v>PASS</x:v>
      </x:c>
      <x:c r="I101" s="22" t="str"/>
    </x:row>
    <x:row r="102" ht="26.399999618530273" hidden="0" customHeight="1">
      <x:c r="A102" s="22" t="str">
        <x:v>42_VAC_A_Filter</x:v>
      </x:c>
      <x:c r="B102" s="22" t="str">
        <x:v>loop_phase_loss_deg</x:v>
      </x:c>
      <x:c r="C102" s="22" t="n">
        <x:v>0.011854299040457476</x:v>
      </x:c>
      <x:c r="D102" s="22" t="str">
        <x:v>deg</x:v>
      </x:c>
      <x:c r="E102" s="22" t="str">
        <x:v>atan(floop/fc)</x:v>
      </x:c>
      <x:c r="F102" s="22" t="str"/>
      <x:c r="G102" s="22" t="str">
        <x:v>calculated</x:v>
      </x:c>
      <x:c r="H102" s="22" t="str">
        <x:v>PASS</x:v>
      </x:c>
      <x:c r="I102" s="22" t="str"/>
    </x:row>
    <x:row r="103" ht="26.399999618530273" hidden="0" customHeight="1">
      <x:c r="A103" s="22" t="str">
        <x:v>42_VAC_A_Filter</x:v>
      </x:c>
      <x:c r="B103" s="22" t="str">
        <x:v>switching_attenuation_db</x:v>
      </x:c>
      <x:c r="C103" s="22" t="n">
        <x:v>-1.6897578570081766</x:v>
      </x:c>
      <x:c r="D103" s="22" t="str">
        <x:v>dB</x:v>
      </x:c>
      <x:c r="E103" s="22" t="str">
        <x:v>-10*log10(1+(fsw/fc)^2)</x:v>
      </x:c>
      <x:c r="F103" s="22" t="str"/>
      <x:c r="G103" s="22" t="str">
        <x:v>calculated</x:v>
      </x:c>
      <x:c r="H103" s="22" t="str">
        <x:v>PASS</x:v>
      </x:c>
      <x:c r="I103" s="22" t="str"/>
    </x:row>
    <x:row r="104" ht="26.399999618530273" hidden="0" customHeight="1">
      <x:c r="A104" s="22" t="str">
        <x:v>42_VAC_B_Filter</x:v>
      </x:c>
      <x:c r="B104" s="22" t="str">
        <x:v>rc_cutoff_hz</x:v>
      </x:c>
      <x:c r="C104" s="22" t="n">
        <x:v>338627.5384933943</x:v>
      </x:c>
      <x:c r="D104" s="22" t="str">
        <x:v>Hz</x:v>
      </x:c>
      <x:c r="E104" s="22" t="str">
        <x:v>1/(2*pi*R*C)</x:v>
      </x:c>
      <x:c r="F104" s="22" t="str"/>
      <x:c r="G104" s="22" t="str">
        <x:v>calculated</x:v>
      </x:c>
      <x:c r="H104" s="22" t="str">
        <x:v>PASS</x:v>
      </x:c>
      <x:c r="I104" s="22" t="str"/>
    </x:row>
    <x:row r="105" ht="15" hidden="0" customHeight="1">
      <x:c r="A105" s="22" t="str">
        <x:v>42_VAC_B_Filter</x:v>
      </x:c>
      <x:c r="B105" s="22" t="str">
        <x:v>effective_bandwidth_hz</x:v>
      </x:c>
      <x:c r="C105" s="22" t="n">
        <x:v>145000</x:v>
      </x:c>
      <x:c r="D105" s="22" t="str">
        <x:v>Hz</x:v>
      </x:c>
      <x:c r="E105" s="22" t="str">
        <x:v>min(RC cutoff, sensor bandwidth)</x:v>
      </x:c>
      <x:c r="F105" s="22" t="str"/>
      <x:c r="G105" s="22" t="str">
        <x:v>calculated</x:v>
      </x:c>
      <x:c r="H105" s="22" t="str">
        <x:v>PASS</x:v>
      </x:c>
      <x:c r="I105" s="22" t="str"/>
    </x:row>
    <x:row r="106" ht="26.399999618530273" hidden="0" customHeight="1">
      <x:c r="A106" s="22" t="str">
        <x:v>42_VAC_B_Filter</x:v>
      </x:c>
      <x:c r="B106" s="22" t="str">
        <x:v>required_bandwidth_hz</x:v>
      </x:c>
      <x:c r="C106" s="22" t="n">
        <x:v>342.9015690828403</x:v>
      </x:c>
      <x:c r="D106" s="22" t="str">
        <x:v>Hz</x:v>
      </x:c>
      <x:c r="E106" s="22" t="str">
        <x:v>max(Kbw*floop, floop/tan(phi_budget))</x:v>
      </x:c>
      <x:c r="F106" s="22" t="str"/>
      <x:c r="G106" s="22" t="str">
        <x:v>calculated</x:v>
      </x:c>
      <x:c r="H106" s="22" t="str">
        <x:v>PASS</x:v>
      </x:c>
      <x:c r="I106" s="22" t="str"/>
    </x:row>
    <x:row r="107" ht="26.399999618530273" hidden="0" customHeight="1">
      <x:c r="A107" s="22" t="str">
        <x:v>42_VAC_B_Filter</x:v>
      </x:c>
      <x:c r="B107" s="22" t="str">
        <x:v>loop_gain_ratio</x:v>
      </x:c>
      <x:c r="C107" s="22" t="n">
        <x:v>0.9999999785969091</x:v>
      </x:c>
      <x:c r="D107" s="22" t="str">
        <x:v>pu</x:v>
      </x:c>
      <x:c r="E107" s="22" t="str">
        <x:v>1/sqrt(1+(floop/fc)^2)</x:v>
      </x:c>
      <x:c r="F107" s="22" t="str"/>
      <x:c r="G107" s="22" t="str">
        <x:v>calculated</x:v>
      </x:c>
      <x:c r="H107" s="22" t="str">
        <x:v>PASS</x:v>
      </x:c>
      <x:c r="I107" s="22" t="str"/>
    </x:row>
    <x:row r="108" ht="26.399999618530273" hidden="0" customHeight="1">
      <x:c r="A108" s="22" t="str">
        <x:v>42_VAC_B_Filter</x:v>
      </x:c>
      <x:c r="B108" s="22" t="str">
        <x:v>loop_phase_loss_deg</x:v>
      </x:c>
      <x:c r="C108" s="22" t="n">
        <x:v>0.011854299040457476</x:v>
      </x:c>
      <x:c r="D108" s="22" t="str">
        <x:v>deg</x:v>
      </x:c>
      <x:c r="E108" s="22" t="str">
        <x:v>atan(floop/fc)</x:v>
      </x:c>
      <x:c r="F108" s="22" t="str"/>
      <x:c r="G108" s="22" t="str">
        <x:v>calculated</x:v>
      </x:c>
      <x:c r="H108" s="22" t="str">
        <x:v>PASS</x:v>
      </x:c>
      <x:c r="I108" s="22" t="str"/>
    </x:row>
    <x:row r="109" ht="26.399999618530273" hidden="0" customHeight="1">
      <x:c r="A109" s="22" t="str">
        <x:v>42_VAC_B_Filter</x:v>
      </x:c>
      <x:c r="B109" s="22" t="str">
        <x:v>switching_attenuation_db</x:v>
      </x:c>
      <x:c r="C109" s="22" t="n">
        <x:v>-1.6897578570081766</x:v>
      </x:c>
      <x:c r="D109" s="22" t="str">
        <x:v>dB</x:v>
      </x:c>
      <x:c r="E109" s="22" t="str">
        <x:v>-10*log10(1+(fsw/fc)^2)</x:v>
      </x:c>
      <x:c r="F109" s="22" t="str"/>
      <x:c r="G109" s="22" t="str">
        <x:v>calculated</x:v>
      </x:c>
      <x:c r="H109" s="22" t="str">
        <x:v>PASS</x:v>
      </x:c>
      <x:c r="I109" s="22" t="str"/>
    </x:row>
    <x:row r="110" ht="26.399999618530273" hidden="0" customHeight="1">
      <x:c r="A110" s="22" t="str">
        <x:v>42_VAC_C_Filter</x:v>
      </x:c>
      <x:c r="B110" s="22" t="str">
        <x:v>rc_cutoff_hz</x:v>
      </x:c>
      <x:c r="C110" s="22" t="n">
        <x:v>338627.5384933943</x:v>
      </x:c>
      <x:c r="D110" s="22" t="str">
        <x:v>Hz</x:v>
      </x:c>
      <x:c r="E110" s="22" t="str">
        <x:v>1/(2*pi*R*C)</x:v>
      </x:c>
      <x:c r="F110" s="22" t="str"/>
      <x:c r="G110" s="22" t="str">
        <x:v>calculated</x:v>
      </x:c>
      <x:c r="H110" s="22" t="str">
        <x:v>PASS</x:v>
      </x:c>
      <x:c r="I110" s="22" t="str"/>
    </x:row>
    <x:row r="111" ht="15" hidden="0" customHeight="1">
      <x:c r="A111" s="22" t="str">
        <x:v>42_VAC_C_Filter</x:v>
      </x:c>
      <x:c r="B111" s="22" t="str">
        <x:v>effective_bandwidth_hz</x:v>
      </x:c>
      <x:c r="C111" s="22" t="n">
        <x:v>145000</x:v>
      </x:c>
      <x:c r="D111" s="22" t="str">
        <x:v>Hz</x:v>
      </x:c>
      <x:c r="E111" s="22" t="str">
        <x:v>min(RC cutoff, sensor bandwidth)</x:v>
      </x:c>
      <x:c r="F111" s="22" t="str"/>
      <x:c r="G111" s="22" t="str">
        <x:v>calculated</x:v>
      </x:c>
      <x:c r="H111" s="22" t="str">
        <x:v>PASS</x:v>
      </x:c>
      <x:c r="I111" s="22" t="str"/>
    </x:row>
    <x:row r="112" ht="26.399999618530273" hidden="0" customHeight="1">
      <x:c r="A112" s="22" t="str">
        <x:v>42_VAC_C_Filter</x:v>
      </x:c>
      <x:c r="B112" s="22" t="str">
        <x:v>required_bandwidth_hz</x:v>
      </x:c>
      <x:c r="C112" s="22" t="n">
        <x:v>342.9015690828403</x:v>
      </x:c>
      <x:c r="D112" s="22" t="str">
        <x:v>Hz</x:v>
      </x:c>
      <x:c r="E112" s="22" t="str">
        <x:v>max(Kbw*floop, floop/tan(phi_budget))</x:v>
      </x:c>
      <x:c r="F112" s="22" t="str"/>
      <x:c r="G112" s="22" t="str">
        <x:v>calculated</x:v>
      </x:c>
      <x:c r="H112" s="22" t="str">
        <x:v>PASS</x:v>
      </x:c>
      <x:c r="I112" s="22" t="str"/>
    </x:row>
    <x:row r="113" ht="26.399999618530273" hidden="0" customHeight="1">
      <x:c r="A113" s="22" t="str">
        <x:v>42_VAC_C_Filter</x:v>
      </x:c>
      <x:c r="B113" s="22" t="str">
        <x:v>loop_gain_ratio</x:v>
      </x:c>
      <x:c r="C113" s="22" t="n">
        <x:v>0.9999999785969091</x:v>
      </x:c>
      <x:c r="D113" s="22" t="str">
        <x:v>pu</x:v>
      </x:c>
      <x:c r="E113" s="22" t="str">
        <x:v>1/sqrt(1+(floop/fc)^2)</x:v>
      </x:c>
      <x:c r="F113" s="22" t="str"/>
      <x:c r="G113" s="22" t="str">
        <x:v>calculated</x:v>
      </x:c>
      <x:c r="H113" s="22" t="str">
        <x:v>PASS</x:v>
      </x:c>
      <x:c r="I113" s="22" t="str"/>
    </x:row>
    <x:row r="114" ht="26.399999618530273" hidden="0" customHeight="1">
      <x:c r="A114" s="22" t="str">
        <x:v>42_VAC_C_Filter</x:v>
      </x:c>
      <x:c r="B114" s="22" t="str">
        <x:v>loop_phase_loss_deg</x:v>
      </x:c>
      <x:c r="C114" s="22" t="n">
        <x:v>0.011854299040457476</x:v>
      </x:c>
      <x:c r="D114" s="22" t="str">
        <x:v>deg</x:v>
      </x:c>
      <x:c r="E114" s="22" t="str">
        <x:v>atan(floop/fc)</x:v>
      </x:c>
      <x:c r="F114" s="22" t="str"/>
      <x:c r="G114" s="22" t="str">
        <x:v>calculated</x:v>
      </x:c>
      <x:c r="H114" s="22" t="str">
        <x:v>PASS</x:v>
      </x:c>
      <x:c r="I114" s="22" t="str"/>
    </x:row>
    <x:row r="115" ht="26.399999618530273" hidden="0" customHeight="1">
      <x:c r="A115" s="22" t="str">
        <x:v>42_VAC_C_Filter</x:v>
      </x:c>
      <x:c r="B115" s="22" t="str">
        <x:v>switching_attenuation_db</x:v>
      </x:c>
      <x:c r="C115" s="22" t="n">
        <x:v>-1.6897578570081766</x:v>
      </x:c>
      <x:c r="D115" s="22" t="str">
        <x:v>dB</x:v>
      </x:c>
      <x:c r="E115" s="22" t="str">
        <x:v>-10*log10(1+(fsw/fc)^2)</x:v>
      </x:c>
      <x:c r="F115" s="22" t="str"/>
      <x:c r="G115" s="22" t="str">
        <x:v>calculated</x:v>
      </x:c>
      <x:c r="H115" s="22" t="str">
        <x:v>PASS</x:v>
      </x:c>
      <x:c r="I115" s="22" t="str"/>
    </x:row>
    <x:row r="116" ht="26.399999618530273" hidden="0" customHeight="1">
      <x:c r="A116" s="22" t="str">
        <x:v>16_Phase_Matching</x:v>
      </x:c>
      <x:c r="B116" s="22" t="str">
        <x:v>phase_current_gain_mismatch_percent</x:v>
      </x:c>
      <x:c r="C116" s="22" t="n">
        <x:v>0.09000300009999618</x:v>
      </x:c>
      <x:c r="D116" s="22" t="str">
        <x:v>%</x:v>
      </x:c>
      <x:c r="E116" s="22" t="str">
        <x:v>(max(Seff)-min(Seff))/mean(Seff)*100</x:v>
      </x:c>
      <x:c r="F116" s="22" t="str"/>
      <x:c r="G116" s="22" t="str">
        <x:v>calculated</x:v>
      </x:c>
      <x:c r="H116" s="22" t="str">
        <x:v>PASS</x:v>
      </x:c>
      <x:c r="I116" s="22" t="str"/>
    </x:row>
    <x:row r="117" ht="26.399999618530273" hidden="0" customHeight="1">
      <x:c r="A117" s="22" t="str">
        <x:v>16_Phase_Matching</x:v>
      </x:c>
      <x:c r="B117" s="22" t="str">
        <x:v>phase_current_zero_mismatch_code</x:v>
      </x:c>
      <x:c r="C117" s="22" t="n">
        <x:v>2.0275199999996403</x:v>
      </x:c>
      <x:c r="D117" s="22" t="str">
        <x:v>code</x:v>
      </x:c>
      <x:c r="E117" s="22" t="str">
        <x:v>max(Nzero)-min(Nzero)</x:v>
      </x:c>
      <x:c r="F117" s="22" t="str"/>
      <x:c r="G117" s="22" t="str">
        <x:v>calculated</x:v>
      </x:c>
      <x:c r="H117" s="22" t="str">
        <x:v>PASS</x:v>
      </x:c>
      <x:c r="I117" s="22" t="str"/>
    </x:row>
    <x:row r="118" ht="26.399999618530273" hidden="0" customHeight="1">
      <x:c r="A118" s="22" t="str">
        <x:v>16_Phase_Matching</x:v>
      </x:c>
      <x:c r="B118" s="22" t="str">
        <x:v>phase_voltage_gain_mismatch_percent</x:v>
      </x:c>
      <x:c r="C118" s="22" t="n">
        <x:v>0.06049515283266774</x:v>
      </x:c>
      <x:c r="D118" s="22" t="str">
        <x:v>%</x:v>
      </x:c>
      <x:c r="E118" s="22" t="str">
        <x:v>(max(Kdiv)-min(Kdiv))/mean(Kdiv)*100</x:v>
      </x:c>
      <x:c r="F118" s="22" t="str"/>
      <x:c r="G118" s="22" t="str">
        <x:v>calculated</x:v>
      </x:c>
      <x:c r="H118" s="22" t="str">
        <x:v>PASS</x:v>
      </x:c>
      <x:c r="I118" s="22" t="str"/>
    </x:row>
    <x:row r="119" ht="26.399999618530273" hidden="0" customHeight="1">
      <x:c r="A119" s="22" t="str">
        <x:v>16_Phase_Matching</x:v>
      </x:c>
      <x:c r="B119" s="22" t="str">
        <x:v>phase_current_gain_mismatch_limit_percent</x:v>
      </x:c>
      <x:c r="C119" s="22" t="n">
        <x:v>0.2</x:v>
      </x:c>
      <x:c r="D119" s="22" t="str">
        <x:v>%</x:v>
      </x:c>
      <x:c r="E119" s="22" t="str"/>
      <x:c r="F119" s="22" t="str"/>
      <x:c r="G119" s="22" t="str">
        <x:v>configuration</x:v>
      </x:c>
      <x:c r="H119" s="22" t="str">
        <x:v>PASS</x:v>
      </x:c>
      <x:c r="I119" s="22" t="str"/>
    </x:row>
    <x:row r="120" ht="26.399999618530273" hidden="0" customHeight="1">
      <x:c r="A120" s="22" t="str">
        <x:v>16_Phase_Matching</x:v>
      </x:c>
      <x:c r="B120" s="22" t="str">
        <x:v>phase_voltage_gain_mismatch_limit_percent</x:v>
      </x:c>
      <x:c r="C120" s="22" t="n">
        <x:v>0.2</x:v>
      </x:c>
      <x:c r="D120" s="22" t="str">
        <x:v>%</x:v>
      </x:c>
      <x:c r="E120" s="22" t="str"/>
      <x:c r="F120" s="22" t="str"/>
      <x:c r="G120" s="22" t="str">
        <x:v>configuration</x:v>
      </x:c>
      <x:c r="H120" s="22" t="str">
        <x:v>PASS</x:v>
      </x:c>
      <x:c r="I120" s="22" t="str"/>
    </x:row>
    <x:row r="121" ht="26.399999618530273" hidden="0" customHeight="1">
      <x:c r="A121" s="22" t="str">
        <x:v>52_Sampling_Sync</x:v>
      </x:c>
      <x:c r="B121" s="22" t="str">
        <x:v>trigger_source</x:v>
      </x:c>
      <x:c r="C121" s="22" t="str">
        <x:v>EPWM1_SOCA</x:v>
      </x:c>
      <x:c r="D121" s="22" t="str"/>
      <x:c r="E121" s="22" t="str"/>
      <x:c r="F121" s="22" t="str"/>
      <x:c r="G121" s="22" t="str">
        <x:v>configuration</x:v>
      </x:c>
      <x:c r="H121" s="22" t="str">
        <x:v>PASS</x:v>
      </x:c>
      <x:c r="I121" s="22" t="str"/>
    </x:row>
    <x:row r="122" ht="26.399999618530273" hidden="0" customHeight="1">
      <x:c r="A122" s="22" t="str">
        <x:v>52_Sampling_Sync</x:v>
      </x:c>
      <x:c r="B122" s="22" t="str">
        <x:v>trigger_position</x:v>
      </x:c>
      <x:c r="C122" s="22" t="str">
        <x:v>PWM_CENTER</x:v>
      </x:c>
      <x:c r="D122" s="22" t="str"/>
      <x:c r="E122" s="22" t="str"/>
      <x:c r="F122" s="22" t="str"/>
      <x:c r="G122" s="22" t="str">
        <x:v>configuration</x:v>
      </x:c>
      <x:c r="H122" s="22" t="str">
        <x:v>PASS</x:v>
      </x:c>
      <x:c r="I122" s="22" t="str"/>
    </x:row>
    <x:row r="123" ht="26.399999618530273" hidden="0" customHeight="1">
      <x:c r="A123" s="22" t="str">
        <x:v>52_Sampling_Sync</x:v>
      </x:c>
      <x:c r="B123" s="22" t="str">
        <x:v>simultaneous_required</x:v>
      </x:c>
      <x:c r="C123" s="28" t="b">
        <x:v>1</x:v>
      </x:c>
      <x:c r="D123" s="22" t="str"/>
      <x:c r="E123" s="22" t="str"/>
      <x:c r="F123" s="22" t="str"/>
      <x:c r="G123" s="22" t="str">
        <x:v>configuration</x:v>
      </x:c>
      <x:c r="H123" s="22" t="str">
        <x:v>PASS</x:v>
      </x:c>
      <x:c r="I123" s="22" t="str"/>
    </x:row>
    <x:row r="124" ht="15" hidden="0" customHeight="1">
      <x:c r="A124" s="22" t="str">
        <x:v>52_Sampling_Sync</x:v>
      </x:c>
      <x:c r="B124" s="22" t="str">
        <x:v>configured_channel_count</x:v>
      </x:c>
      <x:c r="C124" s="22" t="n">
        <x:v>6</x:v>
      </x:c>
      <x:c r="D124" s="22" t="str">
        <x:v>channel</x:v>
      </x:c>
      <x:c r="E124" s="22" t="str"/>
      <x:c r="F124" s="22" t="str"/>
      <x:c r="G124" s="22" t="str">
        <x:v>calculated</x:v>
      </x:c>
      <x:c r="H124" s="22" t="str">
        <x:v>PASS</x:v>
      </x:c>
      <x:c r="I124" s="22" t="str"/>
    </x:row>
    <x:row r="125" ht="15" hidden="0" customHeight="1">
      <x:c r="A125" s="22" t="str">
        <x:v>52_Sampling_Sync</x:v>
      </x:c>
      <x:c r="B125" s="22" t="str">
        <x:v>trigger_source_count</x:v>
      </x:c>
      <x:c r="C125" s="22" t="n">
        <x:v>1</x:v>
      </x:c>
      <x:c r="D125" s="22" t="str">
        <x:v>source</x:v>
      </x:c>
      <x:c r="E125" s="22" t="str"/>
      <x:c r="F125" s="22" t="str"/>
      <x:c r="G125" s="22" t="str">
        <x:v>calculated</x:v>
      </x:c>
      <x:c r="H125" s="22" t="str">
        <x:v>PASS</x:v>
      </x:c>
      <x:c r="I125" s="22" t="str"/>
    </x:row>
    <x:row r="126" ht="15" hidden="0" customHeight="1">
      <x:c r="A126" s="22" t="str">
        <x:v>52_Sampling_Sync</x:v>
      </x:c>
      <x:c r="B126" s="22" t="str">
        <x:v>current_adc_module_count</x:v>
      </x:c>
      <x:c r="C126" s="22" t="n">
        <x:v>3</x:v>
      </x:c>
      <x:c r="D126" s="22" t="str">
        <x:v>module</x:v>
      </x:c>
      <x:c r="E126" s="22" t="str"/>
      <x:c r="F126" s="22" t="str"/>
      <x:c r="G126" s="22" t="str">
        <x:v>calculated</x:v>
      </x:c>
      <x:c r="H126" s="22" t="str">
        <x:v>PASS</x:v>
      </x:c>
      <x:c r="I126" s="22" t="str"/>
    </x:row>
    <x:row r="127" ht="26.399999618530273" hidden="0" customHeight="1">
      <x:c r="A127" s="22" t="str">
        <x:v>52_Sampling_Sync</x:v>
      </x:c>
      <x:c r="B127" s="22" t="str">
        <x:v>assignment_IAC_A</x:v>
      </x:c>
      <x:c r="C127" s="22" t="str">
        <x:v>ADCA/SOC0</x:v>
      </x:c>
      <x:c r="D127" s="22" t="str"/>
      <x:c r="E127" s="22" t="str"/>
      <x:c r="F127" s="22" t="str"/>
      <x:c r="G127" s="22" t="str">
        <x:v>configuration</x:v>
      </x:c>
      <x:c r="H127" s="22" t="str">
        <x:v>PASS</x:v>
      </x:c>
      <x:c r="I127" s="22" t="str">
        <x:v>aperture_delay_s=0.0</x:v>
      </x:c>
    </x:row>
    <x:row r="128" ht="26.399999618530273" hidden="0" customHeight="1">
      <x:c r="A128" s="22" t="str">
        <x:v>52_Sampling_Sync</x:v>
      </x:c>
      <x:c r="B128" s="22" t="str">
        <x:v>assignment_IAC_B</x:v>
      </x:c>
      <x:c r="C128" s="22" t="str">
        <x:v>ADCB/SOC0</x:v>
      </x:c>
      <x:c r="D128" s="22" t="str"/>
      <x:c r="E128" s="22" t="str"/>
      <x:c r="F128" s="22" t="str"/>
      <x:c r="G128" s="22" t="str">
        <x:v>configuration</x:v>
      </x:c>
      <x:c r="H128" s="22" t="str">
        <x:v>PASS</x:v>
      </x:c>
      <x:c r="I128" s="22" t="str">
        <x:v>aperture_delay_s=0.0</x:v>
      </x:c>
    </x:row>
    <x:row r="129" ht="26.399999618530273" hidden="0" customHeight="1">
      <x:c r="A129" s="22" t="str">
        <x:v>52_Sampling_Sync</x:v>
      </x:c>
      <x:c r="B129" s="22" t="str">
        <x:v>assignment_IAC_C</x:v>
      </x:c>
      <x:c r="C129" s="22" t="str">
        <x:v>ADCC/SOC0</x:v>
      </x:c>
      <x:c r="D129" s="22" t="str"/>
      <x:c r="E129" s="22" t="str"/>
      <x:c r="F129" s="22" t="str"/>
      <x:c r="G129" s="22" t="str">
        <x:v>configuration</x:v>
      </x:c>
      <x:c r="H129" s="22" t="str">
        <x:v>PASS</x:v>
      </x:c>
      <x:c r="I129" s="22" t="str">
        <x:v>aperture_delay_s=0.0</x:v>
      </x:c>
    </x:row>
    <x:row r="130" ht="26.399999618530273" hidden="0" customHeight="1">
      <x:c r="A130" s="22" t="str">
        <x:v>52_Sampling_Sync</x:v>
      </x:c>
      <x:c r="B130" s="22" t="str">
        <x:v>assignment_VAC_A</x:v>
      </x:c>
      <x:c r="C130" s="22" t="str">
        <x:v>ADCD/SOC0</x:v>
      </x:c>
      <x:c r="D130" s="22" t="str"/>
      <x:c r="E130" s="22" t="str"/>
      <x:c r="F130" s="22" t="str"/>
      <x:c r="G130" s="22" t="str">
        <x:v>configuration</x:v>
      </x:c>
      <x:c r="H130" s="22" t="str">
        <x:v>PASS</x:v>
      </x:c>
      <x:c r="I130" s="22" t="str">
        <x:v>aperture_delay_s=0.0</x:v>
      </x:c>
    </x:row>
    <x:row r="131" ht="26.399999618530273" hidden="0" customHeight="1">
      <x:c r="A131" s="22" t="str">
        <x:v>52_Sampling_Sync</x:v>
      </x:c>
      <x:c r="B131" s="22" t="str">
        <x:v>assignment_VAC_B</x:v>
      </x:c>
      <x:c r="C131" s="22" t="str">
        <x:v>ADCE/SOC0</x:v>
      </x:c>
      <x:c r="D131" s="22" t="str"/>
      <x:c r="E131" s="22" t="str"/>
      <x:c r="F131" s="22" t="str"/>
      <x:c r="G131" s="22" t="str">
        <x:v>configuration</x:v>
      </x:c>
      <x:c r="H131" s="22" t="str">
        <x:v>PASS</x:v>
      </x:c>
      <x:c r="I131" s="22" t="str">
        <x:v>aperture_delay_s=0.0</x:v>
      </x:c>
    </x:row>
    <x:row r="132" ht="26.399999618530273" hidden="0" customHeight="1">
      <x:c r="A132" s="22" t="str">
        <x:v>52_Sampling_Sync</x:v>
      </x:c>
      <x:c r="B132" s="22" t="str">
        <x:v>assignment_VAC_C</x:v>
      </x:c>
      <x:c r="C132" s="22" t="str">
        <x:v>ADCD/SOC1</x:v>
      </x:c>
      <x:c r="D132" s="22" t="str"/>
      <x:c r="E132" s="22" t="str"/>
      <x:c r="F132" s="22" t="str"/>
      <x:c r="G132" s="22" t="str">
        <x:v>configuration</x:v>
      </x:c>
      <x:c r="H132" s="22" t="str">
        <x:v>PASS</x:v>
      </x:c>
      <x:c r="I132" s="22" t="str">
        <x:v>aperture_delay_s=6e-08</x:v>
      </x:c>
    </x:row>
    <x:row r="133" ht="26.399999618530273" hidden="0" customHeight="1">
      <x:c r="A133" s="22" t="str">
        <x:v>52_Sampling_Sync</x:v>
      </x:c>
      <x:c r="B133" s="22" t="str">
        <x:v>maximum_channel_skew_s</x:v>
      </x:c>
      <x:c r="C133" s="22" t="n">
        <x:v>6e-8</x:v>
      </x:c>
      <x:c r="D133" s="22" t="str">
        <x:v>s</x:v>
      </x:c>
      <x:c r="E133" s="22" t="str">
        <x:v>max(t_aperture)-min(t_aperture)</x:v>
      </x:c>
      <x:c r="F133" s="22" t="str"/>
      <x:c r="G133" s="22" t="str">
        <x:v>calculated</x:v>
      </x:c>
      <x:c r="H133" s="22" t="str">
        <x:v>PASS</x:v>
      </x:c>
      <x:c r="I133" s="22" t="str"/>
    </x:row>
    <x:row r="134" ht="26.399999618530273" hidden="0" customHeight="1">
      <x:c r="A134" s="22" t="str">
        <x:v>52_Sampling_Sync</x:v>
      </x:c>
      <x:c r="B134" s="22" t="str">
        <x:v>maximum_channel_skew_limit_s</x:v>
      </x:c>
      <x:c r="C134" s="22" t="n">
        <x:v>1e-7</x:v>
      </x:c>
      <x:c r="D134" s="22" t="str">
        <x:v>s</x:v>
      </x:c>
      <x:c r="E134" s="22" t="str"/>
      <x:c r="F134" s="22" t="str"/>
      <x:c r="G134" s="22" t="str">
        <x:v>configuration</x:v>
      </x:c>
      <x:c r="H134" s="22" t="str">
        <x:v>PASS</x:v>
      </x:c>
      <x:c r="I134" s="22" t="str"/>
    </x:row>
    <x:row r="135" ht="15" hidden="0" customHeight="1">
      <x:c r="A135" s="22" t="str">
        <x:v>52_Sampling_Sync</x:v>
      </x:c>
      <x:c r="B135" s="22" t="str">
        <x:v>line_frequency_angle_skew_deg</x:v>
      </x:c>
      <x:c r="C135" s="22" t="n">
        <x:v>0.0010799999999999998</x:v>
      </x:c>
      <x:c r="D135" s="22" t="str">
        <x:v>deg</x:v>
      </x:c>
      <x:c r="E135" s="22" t="str">
        <x:v>360*fline*DeltaT</x:v>
      </x:c>
      <x:c r="F135" s="22" t="str"/>
      <x:c r="G135" s="22" t="str">
        <x:v>calculated</x:v>
      </x:c>
      <x:c r="H135" s="22" t="str">
        <x:v>PASS</x:v>
      </x:c>
      <x:c r="I135" s="22" t="str"/>
    </x:row>
    <x:row r="136" ht="26.399999618530273" hidden="0" customHeight="1">
      <x:c r="A136" s="22" t="str">
        <x:v>52_Sampling_Sync</x:v>
      </x:c>
      <x:c r="B136" s="22" t="str">
        <x:v>switching_frequency_angle_skew_deg</x:v>
      </x:c>
      <x:c r="C136" s="22" t="n">
        <x:v>2.1599999999999997</x:v>
      </x:c>
      <x:c r="D136" s="22" t="str">
        <x:v>deg</x:v>
      </x:c>
      <x:c r="E136" s="22" t="str">
        <x:v>360*fsw*DeltaT</x:v>
      </x:c>
      <x:c r="F136" s="22" t="str"/>
      <x:c r="G136" s="22" t="str">
        <x:v>calculated</x:v>
      </x:c>
      <x:c r="H136" s="22" t="str">
        <x:v>PASS</x:v>
      </x:c>
      <x:c r="I136" s="22" t="str"/>
    </x:row>
    <x:row r="137" ht="15" hidden="0" customHeight="1">
      <x:c r="A137" s="22" t="str">
        <x:v>52_Sampling_Sync</x:v>
      </x:c>
      <x:c r="B137" s="22" t="str">
        <x:v>current_skew_error_a</x:v>
      </x:c>
      <x:c r="C137" s="22" t="n">
        <x:v>0.12</x:v>
      </x:c>
      <x:c r="D137" s="22" t="str">
        <x:v>A</x:v>
      </x:c>
      <x:c r="E137" s="22" t="str">
        <x:v>max(di/dt)*DeltaT</x:v>
      </x:c>
      <x:c r="F137" s="22" t="str"/>
      <x:c r="G137" s="22" t="str">
        <x:v>calculated</x:v>
      </x:c>
      <x:c r="H137" s="22" t="str">
        <x:v>PASS</x:v>
      </x:c>
      <x:c r="I137" s="22" t="str"/>
    </x:row>
    <x:row r="138" ht="26.399999618530273" hidden="0" customHeight="1">
      <x:c r="A138" s="22" t="str">
        <x:v>52_Sampling_Sync</x:v>
      </x:c>
      <x:c r="B138" s="22" t="str">
        <x:v>current_skew_error_percent_fs</x:v>
      </x:c>
      <x:c r="C138" s="22" t="n">
        <x:v>0.13780765669787953</x:v>
      </x:c>
      <x:c r="D138" s="22" t="str">
        <x:v>%FS</x:v>
      </x:c>
      <x:c r="E138" s="22" t="str">
        <x:v>DeltaI/Iphase_design*100</x:v>
      </x:c>
      <x:c r="F138" s="22" t="str"/>
      <x:c r="G138" s="22" t="str">
        <x:v>calculated</x:v>
      </x:c>
      <x:c r="H138" s="22" t="str">
        <x:v>PASS</x:v>
      </x:c>
      <x:c r="I138" s="22" t="str"/>
    </x:row>
    <x:row r="139" ht="15" hidden="0" customHeight="1">
      <x:c r="A139" s="22" t="str">
        <x:v>52_Sampling_Sync</x:v>
      </x:c>
      <x:c r="B139" s="22" t="str">
        <x:v>voltage_skew_error_v</x:v>
      </x:c>
      <x:c r="C139" s="22" t="n">
        <x:v>0.011999999999999999</x:v>
      </x:c>
      <x:c r="D139" s="22" t="str">
        <x:v>V</x:v>
      </x:c>
      <x:c r="E139" s="22" t="str">
        <x:v>max(dv/dt)*DeltaT</x:v>
      </x:c>
      <x:c r="F139" s="22" t="str"/>
      <x:c r="G139" s="22" t="str">
        <x:v>calculated</x:v>
      </x:c>
      <x:c r="H139" s="22" t="str">
        <x:v>PASS</x:v>
      </x:c>
      <x:c r="I139" s="22" t="str"/>
    </x:row>
    <x:row r="140" ht="15" hidden="0" customHeight="1">
      <x:c r="A140" s="22" t="str">
        <x:v>30_IDC_Shunt</x:v>
      </x:c>
      <x:c r="B140" s="22" t="str">
        <x:v>actual_shunt_ohm</x:v>
      </x:c>
      <x:c r="C140" s="22" t="n">
        <x:v>0.0005</x:v>
      </x:c>
      <x:c r="D140" s="22" t="str">
        <x:v>ohm</x:v>
      </x:c>
      <x:c r="E140" s="22" t="str"/>
      <x:c r="F140" s="22" t="str"/>
      <x:c r="G140" s="22" t="str">
        <x:v>calculated</x:v>
      </x:c>
      <x:c r="H140" s="22" t="str">
        <x:v>PASS</x:v>
      </x:c>
      <x:c r="I140" s="22" t="str"/>
    </x:row>
    <x:row r="141" ht="26.399999618530273" hidden="0" customHeight="1">
      <x:c r="A141" s="22" t="str">
        <x:v>30_IDC_Shunt</x:v>
      </x:c>
      <x:c r="B141" s="22" t="str">
        <x:v>max_shunt_adc_ohm</x:v>
      </x:c>
      <x:c r="C141" s="22" t="n">
        <x:v>0.0006270087235996327</x:v>
      </x:c>
      <x:c r="D141" s="22" t="str">
        <x:v>ohm</x:v>
      </x:c>
      <x:c r="E141" s="22" t="str"/>
      <x:c r="F141" s="22" t="str"/>
      <x:c r="G141" s="22" t="str">
        <x:v>calculated</x:v>
      </x:c>
      <x:c r="H141" s="22" t="str">
        <x:v>PASS</x:v>
      </x:c>
      <x:c r="I141" s="22" t="str"/>
    </x:row>
    <x:row r="142" ht="26.399999618530273" hidden="0" customHeight="1">
      <x:c r="A142" s="22" t="str">
        <x:v>30_IDC_Shunt</x:v>
      </x:c>
      <x:c r="B142" s="22" t="str">
        <x:v>max_shunt_input_ohm</x:v>
      </x:c>
      <x:c r="C142" s="22" t="n">
        <x:v>0.0007196969696969697</x:v>
      </x:c>
      <x:c r="D142" s="22" t="str">
        <x:v>ohm</x:v>
      </x:c>
      <x:c r="E142" s="22" t="str"/>
      <x:c r="F142" s="22" t="str"/>
      <x:c r="G142" s="22" t="str">
        <x:v>calculated</x:v>
      </x:c>
      <x:c r="H142" s="22" t="str">
        <x:v>PASS</x:v>
      </x:c>
      <x:c r="I142" s="22" t="str"/>
    </x:row>
    <x:row r="143" ht="26.399999618530273" hidden="0" customHeight="1">
      <x:c r="A143" s="22" t="str">
        <x:v>30_IDC_Shunt</x:v>
      </x:c>
      <x:c r="B143" s="22" t="str">
        <x:v>recommended_shunt_max_ohm</x:v>
      </x:c>
      <x:c r="C143" s="22" t="n">
        <x:v>0.0006270087235996327</x:v>
      </x:c>
      <x:c r="D143" s="22" t="str">
        <x:v>ohm</x:v>
      </x:c>
      <x:c r="E143" s="22" t="str">
        <x:v>min(R_adc,R_input)</x:v>
      </x:c>
      <x:c r="F143" s="22" t="str"/>
      <x:c r="G143" s="22" t="str">
        <x:v>calculated</x:v>
      </x:c>
      <x:c r="H143" s="22" t="str">
        <x:v>PASS</x:v>
      </x:c>
      <x:c r="I143" s="22" t="str"/>
    </x:row>
    <x:row r="144" ht="15" hidden="0" customHeight="1">
      <x:c r="A144" s="22" t="str">
        <x:v>30_IDC_Shunt</x:v>
      </x:c>
      <x:c r="B144" s="22" t="str">
        <x:v>effective_sensitivity_v_per_a</x:v>
      </x:c>
      <x:c r="C144" s="22" t="n">
        <x:v>0.016499999999999997</x:v>
      </x:c>
      <x:c r="D144" s="22" t="str">
        <x:v>V/A</x:v>
      </x:c>
      <x:c r="E144" s="22" t="str">
        <x:v>Rshunt*Vref/(2*Vclip)</x:v>
      </x:c>
      <x:c r="F144" s="22" t="str"/>
      <x:c r="G144" s="22" t="str">
        <x:v>calculated</x:v>
      </x:c>
      <x:c r="H144" s="22" t="str">
        <x:v>PASS</x:v>
      </x:c>
      <x:c r="I144" s="22" t="str"/>
    </x:row>
    <x:row r="145" ht="15" hidden="0" customHeight="1">
      <x:c r="A145" s="22" t="str">
        <x:v>30_IDC_Shunt</x:v>
      </x:c>
      <x:c r="B145" s="22" t="str">
        <x:v>zero_adc_v</x:v>
      </x:c>
      <x:c r="C145" s="22" t="n">
        <x:v>1.65</x:v>
      </x:c>
      <x:c r="D145" s="22" t="str">
        <x:v>V</x:v>
      </x:c>
      <x:c r="E145" s="22" t="str"/>
      <x:c r="F145" s="22" t="str"/>
      <x:c r="G145" s="22" t="str">
        <x:v>calculated</x:v>
      </x:c>
      <x:c r="H145" s="22" t="str">
        <x:v>PASS</x:v>
      </x:c>
      <x:c r="I145" s="22" t="str"/>
    </x:row>
    <x:row r="146" ht="26.399999618530273" hidden="0" customHeight="1">
      <x:c r="A146" s="22" t="str">
        <x:v>30_IDC_Shunt</x:v>
      </x:c>
      <x:c r="B146" s="22" t="str">
        <x:v>adc_min_v</x:v>
      </x:c>
      <x:c r="C146" s="22" t="n">
        <x:v>0.7329473684210526</x:v>
      </x:c>
      <x:c r="D146" s="22" t="str">
        <x:v>V</x:v>
      </x:c>
      <x:c r="E146" s="22" t="str"/>
      <x:c r="F146" s="22" t="str"/>
      <x:c r="G146" s="22" t="str">
        <x:v>calculated</x:v>
      </x:c>
      <x:c r="H146" s="22" t="str">
        <x:v>PASS</x:v>
      </x:c>
      <x:c r="I146" s="22" t="str"/>
    </x:row>
    <x:row r="147" ht="26.399999618530273" hidden="0" customHeight="1">
      <x:c r="A147" s="22" t="str">
        <x:v>30_IDC_Shunt</x:v>
      </x:c>
      <x:c r="B147" s="22" t="str">
        <x:v>adc_max_v</x:v>
      </x:c>
      <x:c r="C147" s="22" t="n">
        <x:v>2.5670526315789473</x:v>
      </x:c>
      <x:c r="D147" s="22" t="str">
        <x:v>V</x:v>
      </x:c>
      <x:c r="E147" s="22" t="str"/>
      <x:c r="F147" s="22" t="str"/>
      <x:c r="G147" s="22" t="str">
        <x:v>calculated</x:v>
      </x:c>
      <x:c r="H147" s="22" t="str">
        <x:v>PASS</x:v>
      </x:c>
      <x:c r="I147" s="22" t="str"/>
    </x:row>
    <x:row r="148" ht="26.399999618530273" hidden="0" customHeight="1">
      <x:c r="A148" s="22" t="str">
        <x:v>30_IDC_Shunt</x:v>
      </x:c>
      <x:c r="B148" s="22" t="str">
        <x:v>current_per_code_a</x:v>
      </x:c>
      <x:c r="C148" s="22" t="n">
        <x:v>0.04438920454545455</x:v>
      </x:c>
      <x:c r="D148" s="22" t="str">
        <x:v>A/code</x:v>
      </x:c>
      <x:c r="E148" s="22" t="str">
        <x:v>Vlsb/Seff</x:v>
      </x:c>
      <x:c r="F148" s="22" t="str"/>
      <x:c r="G148" s="22" t="str">
        <x:v>calculated</x:v>
      </x:c>
      <x:c r="H148" s="22" t="str">
        <x:v>PASS</x:v>
      </x:c>
      <x:c r="I148" s="22" t="str"/>
    </x:row>
    <x:row r="149" ht="26.399999618530273" hidden="0" customHeight="1">
      <x:c r="A149" s="22" t="str">
        <x:v>30_IDC_Shunt</x:v>
      </x:c>
      <x:c r="B149" s="22" t="str">
        <x:v>adc_utilization</x:v>
      </x:c>
      <x:c r="C149" s="22" t="n">
        <x:v>0.6113684210526316</x:v>
      </x:c>
      <x:c r="D149" s="22" t="str">
        <x:v>pu</x:v>
      </x:c>
      <x:c r="E149" s="22" t="str"/>
      <x:c r="F149" s="22" t="str"/>
      <x:c r="G149" s="22" t="str">
        <x:v>calculated</x:v>
      </x:c>
      <x:c r="H149" s="22" t="str">
        <x:v>PASS</x:v>
      </x:c>
      <x:c r="I149" s="22" t="str"/>
    </x:row>
    <x:row r="150" ht="26.399999618530273" hidden="0" customHeight="1">
      <x:c r="A150" s="22" t="str">
        <x:v>30_IDC_Shunt</x:v>
      </x:c>
      <x:c r="B150" s="22" t="str">
        <x:v>continuous_shunt_power_w</x:v>
      </x:c>
      <x:c r="C150" s="22" t="n">
        <x:v>0.8864265927977841</x:v>
      </x:c>
      <x:c r="D150" s="22" t="str">
        <x:v>W</x:v>
      </x:c>
      <x:c r="E150" s="22" t="str">
        <x:v>Irms^2*R</x:v>
      </x:c>
      <x:c r="F150" s="22" t="str"/>
      <x:c r="G150" s="22" t="str">
        <x:v>calculated</x:v>
      </x:c>
      <x:c r="H150" s="22" t="str">
        <x:v>PASS</x:v>
      </x:c>
      <x:c r="I150" s="22" t="str"/>
    </x:row>
    <x:row r="151" ht="26.399999618530273" hidden="0" customHeight="1">
      <x:c r="A151" s="22" t="str">
        <x:v>30_IDC_Shunt</x:v>
      </x:c>
      <x:c r="B151" s="22" t="str">
        <x:v>peak_shunt_power_w</x:v>
      </x:c>
      <x:c r="C151" s="22" t="n">
        <x:v>1.5445096952908595</x:v>
      </x:c>
      <x:c r="D151" s="22" t="str">
        <x:v>W</x:v>
      </x:c>
      <x:c r="E151" s="22" t="str">
        <x:v>Ipeak^2*R</x:v>
      </x:c>
      <x:c r="F151" s="22" t="str"/>
      <x:c r="G151" s="22" t="str">
        <x:v>calculated</x:v>
      </x:c>
      <x:c r="H151" s="22" t="str">
        <x:v>PASS</x:v>
      </x:c>
      <x:c r="I151" s="22" t="str"/>
    </x:row>
    <x:row r="152" ht="26.399999618530273" hidden="0" customHeight="1">
      <x:c r="A152" s="22" t="str">
        <x:v>30_IDC_Shunt</x:v>
      </x:c>
      <x:c r="B152" s="22" t="str">
        <x:v>equivalent_offset_current_a</x:v>
      </x:c>
      <x:c r="C152" s="22"/>
      <x:c r="D152" s="22" t="str">
        <x:v>A</x:v>
      </x:c>
      <x:c r="E152" s="22" t="str">
        <x:v>Vos/Rshunt</x:v>
      </x:c>
      <x:c r="F152" s="22" t="str"/>
      <x:c r="G152" s="22" t="str">
        <x:v>missing input</x:v>
      </x:c>
      <x:c r="H152" s="22" t="str">
        <x:v>NOT_EVALUATED</x:v>
      </x:c>
      <x:c r="I152" s="22" t="str">
        <x:v>Enter channels.idc.amplifier.input_offset_v.</x:v>
      </x:c>
    </x:row>
    <x:row r="153" ht="15" hidden="0" customHeight="1">
      <x:c r="A153" s="22" t="str">
        <x:v>41_VDC</x:v>
      </x:c>
      <x:c r="B153" s="22" t="str">
        <x:v>vdc_design_max_v</x:v>
      </x:c>
      <x:c r="C153" s="22" t="n">
        <x:v>977.4999999999999</x:v>
      </x:c>
      <x:c r="D153" s="22" t="str">
        <x:v>V</x:v>
      </x:c>
      <x:c r="E153" s="22" t="str">
        <x:v>Vdc_max*Kmargin</x:v>
      </x:c>
      <x:c r="F153" s="22" t="str"/>
      <x:c r="G153" s="22" t="str">
        <x:v>calculated</x:v>
      </x:c>
      <x:c r="H153" s="22" t="str">
        <x:v>PASS</x:v>
      </x:c>
      <x:c r="I153" s="22" t="str"/>
    </x:row>
    <x:row r="154" ht="15" hidden="0" customHeight="1">
      <x:c r="A154" s="22" t="str">
        <x:v>41_VDC</x:v>
      </x:c>
      <x:c r="B154" s="22" t="str">
        <x:v>architecture</x:v>
      </x:c>
      <x:c r="C154" s="22" t="str">
        <x:v>divider</x:v>
      </x:c>
      <x:c r="D154" s="22" t="str"/>
      <x:c r="E154" s="22" t="str"/>
      <x:c r="F154" s="22" t="str"/>
      <x:c r="G154" s="22" t="str">
        <x:v>calculated</x:v>
      </x:c>
      <x:c r="H154" s="22" t="str">
        <x:v>PASS</x:v>
      </x:c>
      <x:c r="I154" s="22" t="str"/>
    </x:row>
    <x:row r="155" ht="26.399999618530273" hidden="0" customHeight="1">
      <x:c r="A155" s="22" t="str">
        <x:v>41_VDC</x:v>
      </x:c>
      <x:c r="B155" s="22" t="str">
        <x:v>required_high_side_ohm</x:v>
      </x:c>
      <x:c r="C155" s="22" t="n">
        <x:v>3610370.3703703694</x:v>
      </x:c>
      <x:c r="D155" s="22" t="str">
        <x:v>ohm</x:v>
      </x:c>
      <x:c r="E155" s="22" t="str"/>
      <x:c r="F155" s="22" t="str"/>
      <x:c r="G155" s="22" t="str">
        <x:v>calculated</x:v>
      </x:c>
      <x:c r="H155" s="22" t="str">
        <x:v>PASS</x:v>
      </x:c>
      <x:c r="I155" s="22" t="str"/>
    </x:row>
    <x:row r="156" ht="26.399999618530273" hidden="0" customHeight="1">
      <x:c r="A156" s="22" t="str">
        <x:v>41_VDC</x:v>
      </x:c>
      <x:c r="B156" s="22" t="str">
        <x:v>divider_ratio</x:v>
      </x:c>
      <x:c r="C156" s="22" t="n">
        <x:v>0.0027621483375959086</x:v>
      </x:c>
      <x:c r="D156" s="22" t="str">
        <x:v>V/V</x:v>
      </x:c>
      <x:c r="E156" s="22" t="str"/>
      <x:c r="F156" s="22" t="str"/>
      <x:c r="G156" s="22" t="str">
        <x:v>calculated</x:v>
      </x:c>
      <x:c r="H156" s="22" t="str">
        <x:v>PASS</x:v>
      </x:c>
      <x:c r="I156" s="22" t="str"/>
    </x:row>
    <x:row r="157" ht="26.399999618530273" hidden="0" customHeight="1">
      <x:c r="A157" s="22" t="str">
        <x:v>41_VDC</x:v>
      </x:c>
      <x:c r="B157" s="22" t="str">
        <x:v>vdc_per_code_v</x:v>
      </x:c>
      <x:c r="C157" s="22" t="n">
        <x:v>0.26516384548611105</x:v>
      </x:c>
      <x:c r="D157" s="22" t="str">
        <x:v>V/code</x:v>
      </x:c>
      <x:c r="E157" s="22" t="str"/>
      <x:c r="F157" s="22" t="str"/>
      <x:c r="G157" s="22" t="str">
        <x:v>calculated</x:v>
      </x:c>
      <x:c r="H157" s="22" t="str">
        <x:v>PASS</x:v>
      </x:c>
      <x:c r="I157" s="22" t="str"/>
    </x:row>
    <x:row r="158" ht="26.399999618530273" hidden="0" customHeight="1">
      <x:c r="A158" s="22" t="str">
        <x:v>31_IDC_Filter</x:v>
      </x:c>
      <x:c r="B158" s="22" t="str">
        <x:v>rc_cutoff_hz</x:v>
      </x:c>
      <x:c r="C158" s="22" t="n">
        <x:v>21922.16846995804</x:v>
      </x:c>
      <x:c r="D158" s="22" t="str">
        <x:v>Hz</x:v>
      </x:c>
      <x:c r="E158" s="22" t="str">
        <x:v>1/(2*pi*R*C)</x:v>
      </x:c>
      <x:c r="F158" s="22" t="str"/>
      <x:c r="G158" s="22" t="str">
        <x:v>calculated</x:v>
      </x:c>
      <x:c r="H158" s="22" t="str">
        <x:v>PASS</x:v>
      </x:c>
      <x:c r="I158" s="22" t="str"/>
    </x:row>
    <x:row r="159" ht="26.399999618530273" hidden="0" customHeight="1">
      <x:c r="A159" s="22" t="str">
        <x:v>31_IDC_Filter</x:v>
      </x:c>
      <x:c r="B159" s="22" t="str">
        <x:v>effective_bandwidth_hz</x:v>
      </x:c>
      <x:c r="C159" s="22" t="n">
        <x:v>21922.16846995804</x:v>
      </x:c>
      <x:c r="D159" s="22" t="str">
        <x:v>Hz</x:v>
      </x:c>
      <x:c r="E159" s="22" t="str">
        <x:v>min(RC cutoff, sensor bandwidth)</x:v>
      </x:c>
      <x:c r="F159" s="22" t="str"/>
      <x:c r="G159" s="22" t="str">
        <x:v>calculated</x:v>
      </x:c>
      <x:c r="H159" s="22" t="str">
        <x:v>PASS</x:v>
      </x:c>
      <x:c r="I159" s="22" t="str"/>
    </x:row>
    <x:row r="160" ht="15" hidden="0" customHeight="1">
      <x:c r="A160" s="22" t="str">
        <x:v>31_IDC_Filter</x:v>
      </x:c>
      <x:c r="B160" s="22" t="str">
        <x:v>required_bandwidth_hz</x:v>
      </x:c>
      <x:c r="C160" s="22" t="n">
        <x:v>7500</x:v>
      </x:c>
      <x:c r="D160" s="22" t="str">
        <x:v>Hz</x:v>
      </x:c>
      <x:c r="E160" s="22" t="str">
        <x:v>max(Kbw*floop, floop/tan(phi_budget))</x:v>
      </x:c>
      <x:c r="F160" s="22" t="str"/>
      <x:c r="G160" s="22" t="str">
        <x:v>calculated</x:v>
      </x:c>
      <x:c r="H160" s="22" t="str">
        <x:v>PASS</x:v>
      </x:c>
      <x:c r="I160" s="22" t="str"/>
    </x:row>
    <x:row r="161" ht="26.399999618530273" hidden="0" customHeight="1">
      <x:c r="A161" s="22" t="str">
        <x:v>31_IDC_Filter</x:v>
      </x:c>
      <x:c r="B161" s="22" t="str">
        <x:v>loop_gain_ratio</x:v>
      </x:c>
      <x:c r="C161" s="22" t="n">
        <x:v>0.9976672736559256</x:v>
      </x:c>
      <x:c r="D161" s="22" t="str">
        <x:v>pu</x:v>
      </x:c>
      <x:c r="E161" s="22" t="str">
        <x:v>1/sqrt(1+(floop/fc)^2)</x:v>
      </x:c>
      <x:c r="F161" s="22" t="str"/>
      <x:c r="G161" s="22" t="str">
        <x:v>calculated</x:v>
      </x:c>
      <x:c r="H161" s="22" t="str">
        <x:v>PASS</x:v>
      </x:c>
      <x:c r="I161" s="22" t="str"/>
    </x:row>
    <x:row r="162" ht="26.399999618530273" hidden="0" customHeight="1">
      <x:c r="A162" s="22" t="str">
        <x:v>31_IDC_Filter</x:v>
      </x:c>
      <x:c r="B162" s="22" t="str">
        <x:v>loop_phase_loss_deg</x:v>
      </x:c>
      <x:c r="C162" s="22" t="n">
        <x:v>3.914298915972547</x:v>
      </x:c>
      <x:c r="D162" s="22" t="str">
        <x:v>deg</x:v>
      </x:c>
      <x:c r="E162" s="22" t="str">
        <x:v>atan(floop/fc)</x:v>
      </x:c>
      <x:c r="F162" s="22" t="str"/>
      <x:c r="G162" s="22" t="str">
        <x:v>calculated</x:v>
      </x:c>
      <x:c r="H162" s="22" t="str">
        <x:v>PASS</x:v>
      </x:c>
      <x:c r="I162" s="22" t="str"/>
    </x:row>
    <x:row r="163" ht="26.399999618530273" hidden="0" customHeight="1">
      <x:c r="A163" s="22" t="str">
        <x:v>31_IDC_Filter</x:v>
      </x:c>
      <x:c r="B163" s="22" t="str">
        <x:v>switching_attenuation_db</x:v>
      </x:c>
      <x:c r="C163" s="22" t="n">
        <x:v>-13.386183564121858</x:v>
      </x:c>
      <x:c r="D163" s="22" t="str">
        <x:v>dB</x:v>
      </x:c>
      <x:c r="E163" s="22" t="str">
        <x:v>-10*log10(1+(fsw/fc)^2)</x:v>
      </x:c>
      <x:c r="F163" s="22" t="str"/>
      <x:c r="G163" s="22" t="str">
        <x:v>calculated</x:v>
      </x:c>
      <x:c r="H163" s="22" t="str">
        <x:v>PASS</x:v>
      </x:c>
      <x:c r="I163" s="22" t="str"/>
    </x:row>
    <x:row r="164" ht="26.399999618530273" hidden="0" customHeight="1">
      <x:c r="A164" s="22" t="str">
        <x:v>43_VDC_Filter</x:v>
      </x:c>
      <x:c r="B164" s="22" t="str">
        <x:v>rc_cutoff_hz</x:v>
      </x:c>
      <x:c r="C164" s="22" t="n">
        <x:v>6786.123015899687</x:v>
      </x:c>
      <x:c r="D164" s="22" t="str">
        <x:v>Hz</x:v>
      </x:c>
      <x:c r="E164" s="22" t="str">
        <x:v>1/(2*pi*R*C)</x:v>
      </x:c>
      <x:c r="F164" s="22" t="str"/>
      <x:c r="G164" s="22" t="str">
        <x:v>calculated</x:v>
      </x:c>
      <x:c r="H164" s="22" t="str">
        <x:v>PASS</x:v>
      </x:c>
      <x:c r="I164" s="22" t="str"/>
    </x:row>
    <x:row r="165" ht="26.399999618530273" hidden="0" customHeight="1">
      <x:c r="A165" s="22" t="str">
        <x:v>43_VDC_Filter</x:v>
      </x:c>
      <x:c r="B165" s="22" t="str">
        <x:v>effective_bandwidth_hz</x:v>
      </x:c>
      <x:c r="C165" s="22" t="n">
        <x:v>6786.123015899687</x:v>
      </x:c>
      <x:c r="D165" s="22" t="str">
        <x:v>Hz</x:v>
      </x:c>
      <x:c r="E165" s="22" t="str">
        <x:v>min(RC cutoff, sensor bandwidth)</x:v>
      </x:c>
      <x:c r="F165" s="22" t="str"/>
      <x:c r="G165" s="22" t="str">
        <x:v>calculated</x:v>
      </x:c>
      <x:c r="H165" s="22" t="str">
        <x:v>PASS</x:v>
      </x:c>
      <x:c r="I165" s="22" t="str"/>
    </x:row>
    <x:row r="166" ht="26.399999618530273" hidden="0" customHeight="1">
      <x:c r="A166" s="22" t="str">
        <x:v>43_VDC_Filter</x:v>
      </x:c>
      <x:c r="B166" s="22" t="str">
        <x:v>required_bandwidth_hz</x:v>
      </x:c>
      <x:c r="C166" s="22" t="n">
        <x:v>228.60104605522685</x:v>
      </x:c>
      <x:c r="D166" s="22" t="str">
        <x:v>Hz</x:v>
      </x:c>
      <x:c r="E166" s="22" t="str">
        <x:v>max(Kbw*floop, floop/tan(phi_budget))</x:v>
      </x:c>
      <x:c r="F166" s="22" t="str"/>
      <x:c r="G166" s="22" t="str">
        <x:v>calculated</x:v>
      </x:c>
      <x:c r="H166" s="22" t="str">
        <x:v>PASS</x:v>
      </x:c>
      <x:c r="I166" s="22" t="str"/>
    </x:row>
    <x:row r="167" ht="26.399999618530273" hidden="0" customHeight="1">
      <x:c r="A167" s="22" t="str">
        <x:v>43_VDC_Filter</x:v>
      </x:c>
      <x:c r="B167" s="22" t="str">
        <x:v>loop_gain_ratio</x:v>
      </x:c>
      <x:c r="C167" s="22" t="n">
        <x:v>0.9999956570611909</x:v>
      </x:c>
      <x:c r="D167" s="22" t="str">
        <x:v>pu</x:v>
      </x:c>
      <x:c r="E167" s="22" t="str">
        <x:v>1/sqrt(1+(floop/fc)^2)</x:v>
      </x:c>
      <x:c r="F167" s="22" t="str"/>
      <x:c r="G167" s="22" t="str">
        <x:v>calculated</x:v>
      </x:c>
      <x:c r="H167" s="22" t="str">
        <x:v>PASS</x:v>
      </x:c>
      <x:c r="I167" s="22" t="str"/>
    </x:row>
    <x:row r="168" ht="26.399999618530273" hidden="0" customHeight="1">
      <x:c r="A168" s="22" t="str">
        <x:v>43_VDC_Filter</x:v>
      </x:c>
      <x:c r="B168" s="22" t="str">
        <x:v>loop_phase_loss_deg</x:v>
      </x:c>
      <x:c r="C168" s="22" t="n">
        <x:v>0.16886111109563232</x:v>
      </x:c>
      <x:c r="D168" s="22" t="str">
        <x:v>deg</x:v>
      </x:c>
      <x:c r="E168" s="22" t="str">
        <x:v>atan(floop/fc)</x:v>
      </x:c>
      <x:c r="F168" s="22" t="str"/>
      <x:c r="G168" s="22" t="str">
        <x:v>calculated</x:v>
      </x:c>
      <x:c r="H168" s="22" t="str">
        <x:v>PASS</x:v>
      </x:c>
      <x:c r="I168" s="22" t="str"/>
    </x:row>
    <x:row r="169" ht="26.399999618530273" hidden="0" customHeight="1">
      <x:c r="A169" s="22" t="str">
        <x:v>43_VDC_Filter</x:v>
      </x:c>
      <x:c r="B169" s="22" t="str">
        <x:v>switching_attenuation_db</x:v>
      </x:c>
      <x:c r="C169" s="22" t="n">
        <x:v>-23.387519425398345</x:v>
      </x:c>
      <x:c r="D169" s="22" t="str">
        <x:v>dB</x:v>
      </x:c>
      <x:c r="E169" s="22" t="str">
        <x:v>-10*log10(1+(fsw/fc)^2)</x:v>
      </x:c>
      <x:c r="F169" s="22" t="str"/>
      <x:c r="G169" s="22" t="str">
        <x:v>calculated</x:v>
      </x:c>
      <x:c r="H169" s="22" t="str">
        <x:v>PASS</x:v>
      </x:c>
      <x:c r="I169" s="22" t="str"/>
    </x:row>
    <x:row r="170" ht="26.399999618530273" hidden="0" customHeight="1">
      <x:c r="A170" s="22" t="str">
        <x:v>50_ADC_Timing</x:v>
      </x:c>
      <x:c r="B170" s="22" t="str">
        <x:v>adc_lsb_v</x:v>
      </x:c>
      <x:c r="C170" s="22" t="n">
        <x:v>0.000732421875</x:v>
      </x:c>
      <x:c r="D170" s="22" t="str">
        <x:v>V/code</x:v>
      </x:c>
      <x:c r="E170" s="22" t="str">
        <x:v>Vref/2^N</x:v>
      </x:c>
      <x:c r="F170" s="22" t="str"/>
      <x:c r="G170" s="22" t="str">
        <x:v>calculated</x:v>
      </x:c>
      <x:c r="H170" s="22" t="str">
        <x:v>PASS</x:v>
      </x:c>
      <x:c r="I170" s="22" t="str"/>
    </x:row>
    <x:row r="171" ht="15" hidden="0" customHeight="1">
      <x:c r="A171" s="22" t="str">
        <x:v>50_ADC_Timing</x:v>
      </x:c>
      <x:c r="B171" s="22" t="str">
        <x:v>configured_sample_cycles</x:v>
      </x:c>
      <x:c r="C171" s="22" t="n">
        <x:v>20</x:v>
      </x:c>
      <x:c r="D171" s="22" t="str">
        <x:v>SYSCLK</x:v>
      </x:c>
      <x:c r="E171" s="22" t="str"/>
      <x:c r="F171" s="22" t="str"/>
      <x:c r="G171" s="22" t="str">
        <x:v>calculated</x:v>
      </x:c>
      <x:c r="H171" s="22" t="str">
        <x:v>PASS</x:v>
      </x:c>
      <x:c r="I171" s="22" t="str"/>
    </x:row>
    <x:row r="172" ht="15" hidden="0" customHeight="1">
      <x:c r="A172" s="22" t="str">
        <x:v>50_ADC_Timing</x:v>
      </x:c>
      <x:c r="B172" s="22" t="str">
        <x:v>configured_sample_time_s</x:v>
      </x:c>
      <x:c r="C172" s="22" t="n">
        <x:v>1e-7</x:v>
      </x:c>
      <x:c r="D172" s="22" t="str">
        <x:v>s</x:v>
      </x:c>
      <x:c r="E172" s="22" t="str">
        <x:v>cycles/fsysclk</x:v>
      </x:c>
      <x:c r="F172" s="22" t="str"/>
      <x:c r="G172" s="22" t="str">
        <x:v>calculated</x:v>
      </x:c>
      <x:c r="H172" s="22" t="str">
        <x:v>PASS</x:v>
      </x:c>
      <x:c r="I172" s="22" t="str"/>
    </x:row>
    <x:row r="173" ht="26.399999618530273" hidden="0" customHeight="1">
      <x:c r="A173" s="22" t="str">
        <x:v>50_ADC_Timing</x:v>
      </x:c>
      <x:c r="B173" s="22" t="str">
        <x:v>simplified_tau_s</x:v>
      </x:c>
      <x:c r="C173" s="22" t="n">
        <x:v>3e-9</x:v>
      </x:c>
      <x:c r="D173" s="22" t="str">
        <x:v>s</x:v>
      </x:c>
      <x:c r="E173" s="22" t="str">
        <x:v>Rsource*Ctotal</x:v>
      </x:c>
      <x:c r="F173" s="22" t="str"/>
      <x:c r="G173" s="22" t="str">
        <x:v>calculated</x:v>
      </x:c>
      <x:c r="H173" s="22" t="str">
        <x:v>PASS</x:v>
      </x:c>
      <x:c r="I173" s="22" t="str"/>
    </x:row>
    <x:row r="174" ht="26.399999618530273" hidden="0" customHeight="1">
      <x:c r="A174" s="22" t="str">
        <x:v>50_ADC_Timing</x:v>
      </x:c>
      <x:c r="B174" s="22" t="str">
        <x:v>simplified_required_time_s</x:v>
      </x:c>
      <x:c r="C174" s="22" t="n">
        <x:v>2.7032740041837863e-8</x:v>
      </x:c>
      <x:c r="D174" s="22" t="str">
        <x:v>s</x:v>
      </x:c>
      <x:c r="E174" s="22" t="str">
        <x:v>-tau*ln(target_lsb/2^N)</x:v>
      </x:c>
      <x:c r="F174" s="22" t="str"/>
      <x:c r="G174" s="22" t="str">
        <x:v>calculated</x:v>
      </x:c>
      <x:c r="H174" s="22" t="str">
        <x:v>PASS</x:v>
      </x:c>
      <x:c r="I174" s="22" t="str"/>
    </x:row>
    <x:row r="175" ht="26.399999618530273" hidden="0" customHeight="1">
      <x:c r="A175" s="22" t="str">
        <x:v>50_ADC_Timing</x:v>
      </x:c>
      <x:c r="B175" s="22" t="str">
        <x:v>simplified_recommended_time_s</x:v>
      </x:c>
      <x:c r="C175" s="22" t="n">
        <x:v>4.0549110062756793e-8</x:v>
      </x:c>
      <x:c r="D175" s="22" t="str">
        <x:v>s</x:v>
      </x:c>
      <x:c r="E175" s="22" t="str">
        <x:v>treq*Ksafety</x:v>
      </x:c>
      <x:c r="F175" s="22" t="str"/>
      <x:c r="G175" s="22" t="str">
        <x:v>calculated</x:v>
      </x:c>
      <x:c r="H175" s="22" t="str">
        <x:v>PASS</x:v>
      </x:c>
      <x:c r="I175" s="22" t="str"/>
    </x:row>
    <x:row r="176" ht="15" hidden="0" customHeight="1">
      <x:c r="A176" s="22" t="str">
        <x:v>50_ADC_Timing</x:v>
      </x:c>
      <x:c r="B176" s="22" t="str">
        <x:v>simplified_recommended_cycles</x:v>
      </x:c>
      <x:c r="C176" s="22" t="n">
        <x:v>9</x:v>
      </x:c>
      <x:c r="D176" s="22" t="str">
        <x:v>SYSCLK</x:v>
      </x:c>
      <x:c r="E176" s="22" t="str">
        <x:v>ceil(trec*fsysclk)</x:v>
      </x:c>
      <x:c r="F176" s="22" t="str"/>
      <x:c r="G176" s="22" t="str">
        <x:v>calculated</x:v>
      </x:c>
      <x:c r="H176" s="22" t="str">
        <x:v>PASS</x:v>
      </x:c>
      <x:c r="I176" s="22" t="str"/>
    </x:row>
    <x:row r="177" ht="52.79999923706055" hidden="0" customHeight="1">
      <x:c r="A177" s="22" t="str">
        <x:v>50_ADC_Timing</x:v>
      </x:c>
      <x:c r="B177" s="22" t="str">
        <x:v>exact_recommended_cycles</x:v>
      </x:c>
      <x:c r="C177" s="22"/>
      <x:c r="D177" s="22" t="str">
        <x:v>SYSCLK</x:v>
      </x:c>
      <x:c r="E177" s="22" t="str"/>
      <x:c r="F177" s="22" t="str"/>
      <x:c r="G177" s="22" t="str">
        <x:v>missing device parameters</x:v>
      </x:c>
      <x:c r="H177" s="22" t="str">
        <x:v>NOT_EVALUATED</x:v>
      </x:c>
      <x:c r="I177" s="22" t="str">
        <x:v>Enter F29H85x sample capacitor and switch resistance from the applicable data sheet/model.</x:v>
      </x:c>
    </x:row>
    <x:row r="178" ht="15" hidden="0" customHeight="1">
      <x:c r="A178" s="22" t="str">
        <x:v>55_IAC_Delay</x:v>
      </x:c>
      <x:c r="B178" s="22" t="str">
        <x:v>sensor_delay_s</x:v>
      </x:c>
      <x:c r="C178" s="22" t="n">
        <x:v>2e-7</x:v>
      </x:c>
      <x:c r="D178" s="22" t="str">
        <x:v>s</x:v>
      </x:c>
      <x:c r="E178" s="22" t="str"/>
      <x:c r="F178" s="22" t="str"/>
      <x:c r="G178" s="22" t="str">
        <x:v>calculated</x:v>
      </x:c>
      <x:c r="H178" s="22" t="str">
        <x:v>PASS</x:v>
      </x:c>
      <x:c r="I178" s="22" t="str"/>
    </x:row>
    <x:row r="179" ht="15" hidden="0" customHeight="1">
      <x:c r="A179" s="22" t="str">
        <x:v>55_IAC_Delay</x:v>
      </x:c>
      <x:c r="B179" s="22" t="str">
        <x:v>isolation_delay_s</x:v>
      </x:c>
      <x:c r="C179" s="22" t="n">
        <x:v>0</x:v>
      </x:c>
      <x:c r="D179" s="22" t="str">
        <x:v>s</x:v>
      </x:c>
      <x:c r="E179" s="22" t="str"/>
      <x:c r="F179" s="22" t="str"/>
      <x:c r="G179" s="22" t="str">
        <x:v>calculated</x:v>
      </x:c>
      <x:c r="H179" s="22" t="str">
        <x:v>PASS</x:v>
      </x:c>
      <x:c r="I179" s="22" t="str"/>
    </x:row>
    <x:row r="180" ht="26.399999618530273" hidden="0" customHeight="1">
      <x:c r="A180" s="22" t="str">
        <x:v>55_IAC_Delay</x:v>
      </x:c>
      <x:c r="B180" s="22" t="str">
        <x:v>adc_delay_s</x:v>
      </x:c>
      <x:c r="C180" s="22"/>
      <x:c r="D180" s="22" t="str">
        <x:v>s</x:v>
      </x:c>
      <x:c r="E180" s="22" t="str"/>
      <x:c r="F180" s="22" t="str"/>
      <x:c r="G180" s="22" t="str">
        <x:v>calculated</x:v>
      </x:c>
      <x:c r="H180" s="22" t="str">
        <x:v>NOT_EVALUATED</x:v>
      </x:c>
      <x:c r="I180" s="22" t="str"/>
    </x:row>
    <x:row r="181" ht="26.399999618530273" hidden="0" customHeight="1">
      <x:c r="A181" s="22" t="str">
        <x:v>55_IAC_Delay</x:v>
      </x:c>
      <x:c r="B181" s="22" t="str">
        <x:v>isr_delay_s</x:v>
      </x:c>
      <x:c r="C181" s="22"/>
      <x:c r="D181" s="22" t="str">
        <x:v>s</x:v>
      </x:c>
      <x:c r="E181" s="22" t="str"/>
      <x:c r="F181" s="22" t="str"/>
      <x:c r="G181" s="22" t="str">
        <x:v>calculated</x:v>
      </x:c>
      <x:c r="H181" s="22" t="str">
        <x:v>NOT_EVALUATED</x:v>
      </x:c>
      <x:c r="I181" s="22" t="str"/>
    </x:row>
    <x:row r="182" ht="26.399999618530273" hidden="0" customHeight="1">
      <x:c r="A182" s="22" t="str">
        <x:v>55_IAC_Delay</x:v>
      </x:c>
      <x:c r="B182" s="22" t="str">
        <x:v>pwm_delay_s</x:v>
      </x:c>
      <x:c r="C182" s="22"/>
      <x:c r="D182" s="22" t="str">
        <x:v>s</x:v>
      </x:c>
      <x:c r="E182" s="22" t="str"/>
      <x:c r="F182" s="22" t="str"/>
      <x:c r="G182" s="22" t="str">
        <x:v>calculated</x:v>
      </x:c>
      <x:c r="H182" s="22" t="str">
        <x:v>NOT_EVALUATED</x:v>
      </x:c>
      <x:c r="I182" s="22" t="str"/>
    </x:row>
    <x:row r="183" ht="15" hidden="0" customHeight="1">
      <x:c r="A183" s="22" t="str">
        <x:v>55_IAC_Delay</x:v>
      </x:c>
      <x:c r="B183" s="22" t="str">
        <x:v>known_delay_total_s</x:v>
      </x:c>
      <x:c r="C183" s="22" t="n">
        <x:v>2e-7</x:v>
      </x:c>
      <x:c r="D183" s="22" t="str">
        <x:v>s</x:v>
      </x:c>
      <x:c r="E183" s="22" t="str">
        <x:v>sum(known delays)</x:v>
      </x:c>
      <x:c r="F183" s="22" t="str"/>
      <x:c r="G183" s="22" t="str">
        <x:v>calculated</x:v>
      </x:c>
      <x:c r="H183" s="22" t="str">
        <x:v>PASS</x:v>
      </x:c>
      <x:c r="I183" s="22" t="str"/>
    </x:row>
    <x:row r="184" ht="26.399999618530273" hidden="0" customHeight="1">
      <x:c r="A184" s="22" t="str">
        <x:v>55_IAC_Delay</x:v>
      </x:c>
      <x:c r="B184" s="22" t="str">
        <x:v>known_delay_phase_deg</x:v>
      </x:c>
      <x:c r="C184" s="22" t="n">
        <x:v>0.216</x:v>
      </x:c>
      <x:c r="D184" s="22" t="str">
        <x:v>deg</x:v>
      </x:c>
      <x:c r="E184" s="22" t="str">
        <x:v>360*floop*Tdelay</x:v>
      </x:c>
      <x:c r="F184" s="22" t="str"/>
      <x:c r="G184" s="22" t="str">
        <x:v>calculated</x:v>
      </x:c>
      <x:c r="H184" s="22" t="str">
        <x:v>NOT_EVALUATED</x:v>
      </x:c>
      <x:c r="I184" s="22" t="str"/>
    </x:row>
    <x:row r="185" ht="15" hidden="0" customHeight="1">
      <x:c r="A185" s="22" t="str">
        <x:v>55_IDC_Delay</x:v>
      </x:c>
      <x:c r="B185" s="22" t="str">
        <x:v>sensor_delay_s</x:v>
      </x:c>
      <x:c r="C185" s="22" t="n">
        <x:v>0</x:v>
      </x:c>
      <x:c r="D185" s="22" t="str">
        <x:v>s</x:v>
      </x:c>
      <x:c r="E185" s="22" t="str"/>
      <x:c r="F185" s="22" t="str"/>
      <x:c r="G185" s="22" t="str">
        <x:v>calculated</x:v>
      </x:c>
      <x:c r="H185" s="22" t="str">
        <x:v>PASS</x:v>
      </x:c>
      <x:c r="I185" s="22" t="str"/>
    </x:row>
    <x:row r="186" ht="26.399999618530273" hidden="0" customHeight="1">
      <x:c r="A186" s="22" t="str">
        <x:v>55_IDC_Delay</x:v>
      </x:c>
      <x:c r="B186" s="22" t="str">
        <x:v>isolation_delay_s</x:v>
      </x:c>
      <x:c r="C186" s="22"/>
      <x:c r="D186" s="22" t="str">
        <x:v>s</x:v>
      </x:c>
      <x:c r="E186" s="22" t="str"/>
      <x:c r="F186" s="22" t="str"/>
      <x:c r="G186" s="22" t="str">
        <x:v>calculated</x:v>
      </x:c>
      <x:c r="H186" s="22" t="str">
        <x:v>NOT_EVALUATED</x:v>
      </x:c>
      <x:c r="I186" s="22" t="str"/>
    </x:row>
    <x:row r="187" ht="26.399999618530273" hidden="0" customHeight="1">
      <x:c r="A187" s="22" t="str">
        <x:v>55_IDC_Delay</x:v>
      </x:c>
      <x:c r="B187" s="22" t="str">
        <x:v>adc_delay_s</x:v>
      </x:c>
      <x:c r="C187" s="22"/>
      <x:c r="D187" s="22" t="str">
        <x:v>s</x:v>
      </x:c>
      <x:c r="E187" s="22" t="str"/>
      <x:c r="F187" s="22" t="str"/>
      <x:c r="G187" s="22" t="str">
        <x:v>calculated</x:v>
      </x:c>
      <x:c r="H187" s="22" t="str">
        <x:v>NOT_EVALUATED</x:v>
      </x:c>
      <x:c r="I187" s="22" t="str"/>
    </x:row>
    <x:row r="188" ht="26.399999618530273" hidden="0" customHeight="1">
      <x:c r="A188" s="22" t="str">
        <x:v>55_IDC_Delay</x:v>
      </x:c>
      <x:c r="B188" s="22" t="str">
        <x:v>isr_delay_s</x:v>
      </x:c>
      <x:c r="C188" s="22"/>
      <x:c r="D188" s="22" t="str">
        <x:v>s</x:v>
      </x:c>
      <x:c r="E188" s="22" t="str"/>
      <x:c r="F188" s="22" t="str"/>
      <x:c r="G188" s="22" t="str">
        <x:v>calculated</x:v>
      </x:c>
      <x:c r="H188" s="22" t="str">
        <x:v>NOT_EVALUATED</x:v>
      </x:c>
      <x:c r="I188" s="22" t="str"/>
    </x:row>
    <x:row r="189" ht="26.399999618530273" hidden="0" customHeight="1">
      <x:c r="A189" s="22" t="str">
        <x:v>55_IDC_Delay</x:v>
      </x:c>
      <x:c r="B189" s="22" t="str">
        <x:v>pwm_delay_s</x:v>
      </x:c>
      <x:c r="C189" s="22"/>
      <x:c r="D189" s="22" t="str">
        <x:v>s</x:v>
      </x:c>
      <x:c r="E189" s="22" t="str"/>
      <x:c r="F189" s="22" t="str"/>
      <x:c r="G189" s="22" t="str">
        <x:v>calculated</x:v>
      </x:c>
      <x:c r="H189" s="22" t="str">
        <x:v>NOT_EVALUATED</x:v>
      </x:c>
      <x:c r="I189" s="22" t="str"/>
    </x:row>
    <x:row r="190" ht="15" hidden="0" customHeight="1">
      <x:c r="A190" s="22" t="str">
        <x:v>55_IDC_Delay</x:v>
      </x:c>
      <x:c r="B190" s="22" t="str">
        <x:v>known_delay_total_s</x:v>
      </x:c>
      <x:c r="C190" s="22" t="n">
        <x:v>0</x:v>
      </x:c>
      <x:c r="D190" s="22" t="str">
        <x:v>s</x:v>
      </x:c>
      <x:c r="E190" s="22" t="str">
        <x:v>sum(known delays)</x:v>
      </x:c>
      <x:c r="F190" s="22" t="str"/>
      <x:c r="G190" s="22" t="str">
        <x:v>calculated</x:v>
      </x:c>
      <x:c r="H190" s="22" t="str">
        <x:v>PASS</x:v>
      </x:c>
      <x:c r="I190" s="22" t="str"/>
    </x:row>
    <x:row r="191" ht="26.399999618530273" hidden="0" customHeight="1">
      <x:c r="A191" s="22" t="str">
        <x:v>55_IDC_Delay</x:v>
      </x:c>
      <x:c r="B191" s="22" t="str">
        <x:v>known_delay_phase_deg</x:v>
      </x:c>
      <x:c r="C191" s="22" t="n">
        <x:v>0</x:v>
      </x:c>
      <x:c r="D191" s="22" t="str">
        <x:v>deg</x:v>
      </x:c>
      <x:c r="E191" s="22" t="str">
        <x:v>360*floop*Tdelay</x:v>
      </x:c>
      <x:c r="F191" s="22" t="str"/>
      <x:c r="G191" s="22" t="str">
        <x:v>calculated</x:v>
      </x:c>
      <x:c r="H191" s="22" t="str">
        <x:v>NOT_EVALUATED</x:v>
      </x:c>
      <x:c r="I191" s="22" t="str"/>
    </x:row>
    <x:row r="192" ht="15" hidden="0" customHeight="1">
      <x:c r="A192" s="22" t="str">
        <x:v>55_VAC_Delay</x:v>
      </x:c>
      <x:c r="B192" s="22" t="str">
        <x:v>sensor_delay_s</x:v>
      </x:c>
      <x:c r="C192" s="22" t="n">
        <x:v>0</x:v>
      </x:c>
      <x:c r="D192" s="22" t="str">
        <x:v>s</x:v>
      </x:c>
      <x:c r="E192" s="22" t="str"/>
      <x:c r="F192" s="22" t="str"/>
      <x:c r="G192" s="22" t="str">
        <x:v>calculated</x:v>
      </x:c>
      <x:c r="H192" s="22" t="str">
        <x:v>PASS</x:v>
      </x:c>
      <x:c r="I192" s="22" t="str"/>
    </x:row>
    <x:row r="193" ht="15" hidden="0" customHeight="1">
      <x:c r="A193" s="22" t="str">
        <x:v>55_VAC_Delay</x:v>
      </x:c>
      <x:c r="B193" s="22" t="str">
        <x:v>isolation_delay_s</x:v>
      </x:c>
      <x:c r="C193" s="22" t="n">
        <x:v>0.0000029</x:v>
      </x:c>
      <x:c r="D193" s="22" t="str">
        <x:v>s</x:v>
      </x:c>
      <x:c r="E193" s="22" t="str"/>
      <x:c r="F193" s="22" t="str"/>
      <x:c r="G193" s="22" t="str">
        <x:v>calculated</x:v>
      </x:c>
      <x:c r="H193" s="22" t="str">
        <x:v>PASS</x:v>
      </x:c>
      <x:c r="I193" s="22" t="str"/>
    </x:row>
    <x:row r="194" ht="26.399999618530273" hidden="0" customHeight="1">
      <x:c r="A194" s="22" t="str">
        <x:v>55_VAC_Delay</x:v>
      </x:c>
      <x:c r="B194" s="22" t="str">
        <x:v>adc_delay_s</x:v>
      </x:c>
      <x:c r="C194" s="22"/>
      <x:c r="D194" s="22" t="str">
        <x:v>s</x:v>
      </x:c>
      <x:c r="E194" s="22" t="str"/>
      <x:c r="F194" s="22" t="str"/>
      <x:c r="G194" s="22" t="str">
        <x:v>calculated</x:v>
      </x:c>
      <x:c r="H194" s="22" t="str">
        <x:v>NOT_EVALUATED</x:v>
      </x:c>
      <x:c r="I194" s="22" t="str"/>
    </x:row>
    <x:row r="195" ht="26.399999618530273" hidden="0" customHeight="1">
      <x:c r="A195" s="22" t="str">
        <x:v>55_VAC_Delay</x:v>
      </x:c>
      <x:c r="B195" s="22" t="str">
        <x:v>isr_delay_s</x:v>
      </x:c>
      <x:c r="C195" s="22"/>
      <x:c r="D195" s="22" t="str">
        <x:v>s</x:v>
      </x:c>
      <x:c r="E195" s="22" t="str"/>
      <x:c r="F195" s="22" t="str"/>
      <x:c r="G195" s="22" t="str">
        <x:v>calculated</x:v>
      </x:c>
      <x:c r="H195" s="22" t="str">
        <x:v>NOT_EVALUATED</x:v>
      </x:c>
      <x:c r="I195" s="22" t="str"/>
    </x:row>
    <x:row r="196" ht="26.399999618530273" hidden="0" customHeight="1">
      <x:c r="A196" s="22" t="str">
        <x:v>55_VAC_Delay</x:v>
      </x:c>
      <x:c r="B196" s="22" t="str">
        <x:v>pwm_delay_s</x:v>
      </x:c>
      <x:c r="C196" s="22"/>
      <x:c r="D196" s="22" t="str">
        <x:v>s</x:v>
      </x:c>
      <x:c r="E196" s="22" t="str"/>
      <x:c r="F196" s="22" t="str"/>
      <x:c r="G196" s="22" t="str">
        <x:v>calculated</x:v>
      </x:c>
      <x:c r="H196" s="22" t="str">
        <x:v>NOT_EVALUATED</x:v>
      </x:c>
      <x:c r="I196" s="22" t="str"/>
    </x:row>
    <x:row r="197" ht="15" hidden="0" customHeight="1">
      <x:c r="A197" s="22" t="str">
        <x:v>55_VAC_Delay</x:v>
      </x:c>
      <x:c r="B197" s="22" t="str">
        <x:v>known_delay_total_s</x:v>
      </x:c>
      <x:c r="C197" s="22" t="n">
        <x:v>0.0000029</x:v>
      </x:c>
      <x:c r="D197" s="22" t="str">
        <x:v>s</x:v>
      </x:c>
      <x:c r="E197" s="22" t="str">
        <x:v>sum(known delays)</x:v>
      </x:c>
      <x:c r="F197" s="22" t="str"/>
      <x:c r="G197" s="22" t="str">
        <x:v>calculated</x:v>
      </x:c>
      <x:c r="H197" s="22" t="str">
        <x:v>PASS</x:v>
      </x:c>
      <x:c r="I197" s="22" t="str"/>
    </x:row>
    <x:row r="198" ht="26.399999618530273" hidden="0" customHeight="1">
      <x:c r="A198" s="22" t="str">
        <x:v>55_VAC_Delay</x:v>
      </x:c>
      <x:c r="B198" s="22" t="str">
        <x:v>known_delay_phase_deg</x:v>
      </x:c>
      <x:c r="C198" s="22" t="n">
        <x:v>0.03132</x:v>
      </x:c>
      <x:c r="D198" s="22" t="str">
        <x:v>deg</x:v>
      </x:c>
      <x:c r="E198" s="22" t="str">
        <x:v>360*floop*Tdelay</x:v>
      </x:c>
      <x:c r="F198" s="22" t="str"/>
      <x:c r="G198" s="22" t="str">
        <x:v>calculated</x:v>
      </x:c>
      <x:c r="H198" s="22" t="str">
        <x:v>NOT_EVALUATED</x:v>
      </x:c>
      <x:c r="I198" s="22" t="str"/>
    </x:row>
    <x:row r="199" ht="26.399999618530273" hidden="0" customHeight="1">
      <x:c r="A199" s="22" t="str">
        <x:v>55_VDC_Delay</x:v>
      </x:c>
      <x:c r="B199" s="22" t="str">
        <x:v>sensor_delay_s</x:v>
      </x:c>
      <x:c r="C199" s="22"/>
      <x:c r="D199" s="22" t="str">
        <x:v>s</x:v>
      </x:c>
      <x:c r="E199" s="22" t="str"/>
      <x:c r="F199" s="22" t="str"/>
      <x:c r="G199" s="22" t="str">
        <x:v>calculated</x:v>
      </x:c>
      <x:c r="H199" s="22" t="str">
        <x:v>NOT_EVALUATED</x:v>
      </x:c>
      <x:c r="I199" s="22" t="str"/>
    </x:row>
    <x:row r="200" ht="26.399999618530273" hidden="0" customHeight="1">
      <x:c r="A200" s="22" t="str">
        <x:v>55_VDC_Delay</x:v>
      </x:c>
      <x:c r="B200" s="22" t="str">
        <x:v>isolation_delay_s</x:v>
      </x:c>
      <x:c r="C200" s="22"/>
      <x:c r="D200" s="22" t="str">
        <x:v>s</x:v>
      </x:c>
      <x:c r="E200" s="22" t="str"/>
      <x:c r="F200" s="22" t="str"/>
      <x:c r="G200" s="22" t="str">
        <x:v>calculated</x:v>
      </x:c>
      <x:c r="H200" s="22" t="str">
        <x:v>NOT_EVALUATED</x:v>
      </x:c>
      <x:c r="I200" s="22" t="str"/>
    </x:row>
    <x:row r="201" ht="26.399999618530273" hidden="0" customHeight="1">
      <x:c r="A201" s="22" t="str">
        <x:v>55_VDC_Delay</x:v>
      </x:c>
      <x:c r="B201" s="22" t="str">
        <x:v>adc_delay_s</x:v>
      </x:c>
      <x:c r="C201" s="22"/>
      <x:c r="D201" s="22" t="str">
        <x:v>s</x:v>
      </x:c>
      <x:c r="E201" s="22" t="str"/>
      <x:c r="F201" s="22" t="str"/>
      <x:c r="G201" s="22" t="str">
        <x:v>calculated</x:v>
      </x:c>
      <x:c r="H201" s="22" t="str">
        <x:v>NOT_EVALUATED</x:v>
      </x:c>
      <x:c r="I201" s="22" t="str"/>
    </x:row>
    <x:row r="202" ht="26.399999618530273" hidden="0" customHeight="1">
      <x:c r="A202" s="22" t="str">
        <x:v>55_VDC_Delay</x:v>
      </x:c>
      <x:c r="B202" s="22" t="str">
        <x:v>isr_delay_s</x:v>
      </x:c>
      <x:c r="C202" s="22"/>
      <x:c r="D202" s="22" t="str">
        <x:v>s</x:v>
      </x:c>
      <x:c r="E202" s="22" t="str"/>
      <x:c r="F202" s="22" t="str"/>
      <x:c r="G202" s="22" t="str">
        <x:v>calculated</x:v>
      </x:c>
      <x:c r="H202" s="22" t="str">
        <x:v>NOT_EVALUATED</x:v>
      </x:c>
      <x:c r="I202" s="22" t="str"/>
    </x:row>
    <x:row r="203" ht="26.399999618530273" hidden="0" customHeight="1">
      <x:c r="A203" s="22" t="str">
        <x:v>55_VDC_Delay</x:v>
      </x:c>
      <x:c r="B203" s="22" t="str">
        <x:v>pwm_delay_s</x:v>
      </x:c>
      <x:c r="C203" s="22"/>
      <x:c r="D203" s="22" t="str">
        <x:v>s</x:v>
      </x:c>
      <x:c r="E203" s="22" t="str"/>
      <x:c r="F203" s="22" t="str"/>
      <x:c r="G203" s="22" t="str">
        <x:v>calculated</x:v>
      </x:c>
      <x:c r="H203" s="22" t="str">
        <x:v>NOT_EVALUATED</x:v>
      </x:c>
      <x:c r="I203" s="22" t="str"/>
    </x:row>
    <x:row r="204" ht="15" hidden="0" customHeight="1">
      <x:c r="A204" s="22" t="str">
        <x:v>55_VDC_Delay</x:v>
      </x:c>
      <x:c r="B204" s="22" t="str">
        <x:v>known_delay_total_s</x:v>
      </x:c>
      <x:c r="C204" s="22" t="n">
        <x:v>0</x:v>
      </x:c>
      <x:c r="D204" s="22" t="str">
        <x:v>s</x:v>
      </x:c>
      <x:c r="E204" s="22" t="str">
        <x:v>sum(known delays)</x:v>
      </x:c>
      <x:c r="F204" s="22" t="str"/>
      <x:c r="G204" s="22" t="str">
        <x:v>calculated</x:v>
      </x:c>
      <x:c r="H204" s="22" t="str">
        <x:v>PASS</x:v>
      </x:c>
      <x:c r="I204" s="22" t="str"/>
    </x:row>
    <x:row r="205" ht="26.399999618530273" hidden="0" customHeight="1">
      <x:c r="A205" s="22" t="str">
        <x:v>55_VDC_Delay</x:v>
      </x:c>
      <x:c r="B205" s="22" t="str">
        <x:v>known_delay_phase_deg</x:v>
      </x:c>
      <x:c r="C205" s="22" t="n">
        <x:v>0</x:v>
      </x:c>
      <x:c r="D205" s="22" t="str">
        <x:v>deg</x:v>
      </x:c>
      <x:c r="E205" s="22" t="str">
        <x:v>360*floop*Tdelay</x:v>
      </x:c>
      <x:c r="F205" s="22" t="str"/>
      <x:c r="G205" s="22" t="str">
        <x:v>calculated</x:v>
      </x:c>
      <x:c r="H205" s="22" t="str">
        <x:v>NOT_EVALUATED</x:v>
      </x:c>
      <x:c r="I205" s="22" t="str"/>
    </x:row>
    <x:row r="206" ht="39.599998474121094" hidden="0" customHeight="1">
      <x:c r="A206" s="22" t="str">
        <x:v>60_IAC_Error</x:v>
      </x:c>
      <x:c r="B206" s="22" t="str">
        <x:v>wc_percent_fs</x:v>
      </x:c>
      <x:c r="C206" s="22"/>
      <x:c r="D206" s="22" t="str">
        <x:v>%FS</x:v>
      </x:c>
      <x:c r="E206" s="22" t="str"/>
      <x:c r="F206" s="22" t="str"/>
      <x:c r="G206" s="22" t="str">
        <x:v>missing error sources</x:v>
      </x:c>
      <x:c r="H206" s="22" t="str">
        <x:v>NOT_EVALUATED</x:v>
      </x:c>
      <x:c r="I206" s="22" t="str"/>
    </x:row>
    <x:row r="207" ht="39.599998474121094" hidden="0" customHeight="1">
      <x:c r="A207" s="22" t="str">
        <x:v>60_IAC_Error</x:v>
      </x:c>
      <x:c r="B207" s="22" t="str">
        <x:v>rss_percent_fs</x:v>
      </x:c>
      <x:c r="C207" s="22"/>
      <x:c r="D207" s="22" t="str">
        <x:v>%FS</x:v>
      </x:c>
      <x:c r="E207" s="22" t="str"/>
      <x:c r="F207" s="22" t="str"/>
      <x:c r="G207" s="22" t="str">
        <x:v>missing error sources</x:v>
      </x:c>
      <x:c r="H207" s="22" t="str">
        <x:v>NOT_EVALUATED</x:v>
      </x:c>
      <x:c r="I207" s="22" t="str"/>
    </x:row>
    <x:row r="208" ht="39.599998474121094" hidden="0" customHeight="1">
      <x:c r="A208" s="22" t="str">
        <x:v>60_IDC_Error</x:v>
      </x:c>
      <x:c r="B208" s="22" t="str">
        <x:v>wc_percent_fs</x:v>
      </x:c>
      <x:c r="C208" s="22"/>
      <x:c r="D208" s="22" t="str">
        <x:v>%FS</x:v>
      </x:c>
      <x:c r="E208" s="22" t="str"/>
      <x:c r="F208" s="22" t="str"/>
      <x:c r="G208" s="22" t="str">
        <x:v>missing error sources</x:v>
      </x:c>
      <x:c r="H208" s="22" t="str">
        <x:v>NOT_EVALUATED</x:v>
      </x:c>
      <x:c r="I208" s="22" t="str"/>
    </x:row>
    <x:row r="209" ht="39.599998474121094" hidden="0" customHeight="1">
      <x:c r="A209" s="22" t="str">
        <x:v>60_IDC_Error</x:v>
      </x:c>
      <x:c r="B209" s="22" t="str">
        <x:v>rss_percent_fs</x:v>
      </x:c>
      <x:c r="C209" s="22"/>
      <x:c r="D209" s="22" t="str">
        <x:v>%FS</x:v>
      </x:c>
      <x:c r="E209" s="22" t="str"/>
      <x:c r="F209" s="22" t="str"/>
      <x:c r="G209" s="22" t="str">
        <x:v>missing error sources</x:v>
      </x:c>
      <x:c r="H209" s="22" t="str">
        <x:v>NOT_EVALUATED</x:v>
      </x:c>
      <x:c r="I209" s="22" t="str"/>
    </x:row>
    <x:row r="210" ht="39.599998474121094" hidden="0" customHeight="1">
      <x:c r="A210" s="22" t="str">
        <x:v>60_VAC_Error</x:v>
      </x:c>
      <x:c r="B210" s="22" t="str">
        <x:v>wc_percent_fs</x:v>
      </x:c>
      <x:c r="C210" s="22"/>
      <x:c r="D210" s="22" t="str">
        <x:v>%FS</x:v>
      </x:c>
      <x:c r="E210" s="22" t="str"/>
      <x:c r="F210" s="22" t="str"/>
      <x:c r="G210" s="22" t="str">
        <x:v>missing error sources</x:v>
      </x:c>
      <x:c r="H210" s="22" t="str">
        <x:v>NOT_EVALUATED</x:v>
      </x:c>
      <x:c r="I210" s="22" t="str"/>
    </x:row>
    <x:row r="211" ht="39.599998474121094" hidden="0" customHeight="1">
      <x:c r="A211" s="22" t="str">
        <x:v>60_VAC_Error</x:v>
      </x:c>
      <x:c r="B211" s="22" t="str">
        <x:v>rss_percent_fs</x:v>
      </x:c>
      <x:c r="C211" s="22"/>
      <x:c r="D211" s="22" t="str">
        <x:v>%FS</x:v>
      </x:c>
      <x:c r="E211" s="22" t="str"/>
      <x:c r="F211" s="22" t="str"/>
      <x:c r="G211" s="22" t="str">
        <x:v>missing error sources</x:v>
      </x:c>
      <x:c r="H211" s="22" t="str">
        <x:v>NOT_EVALUATED</x:v>
      </x:c>
      <x:c r="I211" s="22" t="str"/>
    </x:row>
    <x:row r="212" ht="39.599998474121094" hidden="0" customHeight="1">
      <x:c r="A212" s="22" t="str">
        <x:v>60_VDC_Error</x:v>
      </x:c>
      <x:c r="B212" s="22" t="str">
        <x:v>wc_percent_fs</x:v>
      </x:c>
      <x:c r="C212" s="22"/>
      <x:c r="D212" s="22" t="str">
        <x:v>%FS</x:v>
      </x:c>
      <x:c r="E212" s="22" t="str"/>
      <x:c r="F212" s="22" t="str"/>
      <x:c r="G212" s="22" t="str">
        <x:v>missing error sources</x:v>
      </x:c>
      <x:c r="H212" s="22" t="str">
        <x:v>NOT_EVALUATED</x:v>
      </x:c>
      <x:c r="I212" s="22" t="str"/>
    </x:row>
    <x:row r="213" ht="39.599998474121094" hidden="0" customHeight="1">
      <x:c r="A213" s="22" t="str">
        <x:v>60_VDC_Error</x:v>
      </x:c>
      <x:c r="B213" s="22" t="str">
        <x:v>rss_percent_fs</x:v>
      </x:c>
      <x:c r="C213" s="22"/>
      <x:c r="D213" s="22" t="str">
        <x:v>%FS</x:v>
      </x:c>
      <x:c r="E213" s="22" t="str"/>
      <x:c r="F213" s="22" t="str"/>
      <x:c r="G213" s="22" t="str">
        <x:v>missing error sources</x:v>
      </x:c>
      <x:c r="H213" s="22" t="str">
        <x:v>NOT_EVALUATED</x:v>
      </x:c>
      <x:c r="I213" s="22" t="str"/>
    </x:row>
  </x:sheetData>
  <x:pageMargins left="0.7" right="0.7" top="0.75" bottom="0.75" header="0.3" footer="0.3"/>
  <x:tableParts count="1">
    <x:tablePart xmlns:r="http://schemas.openxmlformats.org/officeDocument/2006/relationships" r:id="Rfa3fa6534041445d"/>
  </x:tableParts>
</x:worksheet>
</file>

<file path=xl/worksheets/sheet3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4" max="4" width="54" hidden="0" customWidth="1"/>
    <x:col min="5" max="5" width="54" hidden="0" customWidth="1"/>
  </x:cols>
  <x:sheetData>
    <x:row r="1" ht="15" hidden="0" customHeight="1">
      <x:c r="A1" s="12" t="str">
        <x:v>Scope</x:v>
      </x:c>
      <x:c r="B1" s="12" t="str">
        <x:v>Code</x:v>
      </x:c>
      <x:c r="C1" s="12" t="str">
        <x:v>Status</x:v>
      </x:c>
      <x:c r="D1" s="12" t="str">
        <x:v>Message</x:v>
      </x:c>
      <x:c r="E1" s="12" t="str">
        <x:v>Recommendation</x:v>
      </x:c>
    </x:row>
    <x:row r="2" ht="26.399999618530273" hidden="0" customHeight="1">
      <x:c r="A2" s="22" t="str">
        <x:v>21_IAC_A_Filter</x:v>
      </x:c>
      <x:c r="B2" s="22" t="str">
        <x:v>AFE_SWITCH_RIPPLE</x:v>
      </x:c>
      <x:c r="C2" s="22" t="str">
        <x:v>WARNING</x:v>
      </x:c>
      <x:c r="D2" s="22" t="str">
        <x:v>Single-pole attenuation at switching frequency is only -1.4 dB.</x:v>
      </x:c>
      <x:c r="E2" s="22" t="str">
        <x:v>Use PWM-synchronous sampling and/or a higher-order/digital filter; do not reduce bandwidth blindly.</x:v>
      </x:c>
    </x:row>
    <x:row r="3" ht="26.399999618530273" hidden="0" customHeight="1">
      <x:c r="A3" s="22" t="str">
        <x:v>21_IAC_B_Filter</x:v>
      </x:c>
      <x:c r="B3" s="22" t="str">
        <x:v>AFE_SWITCH_RIPPLE</x:v>
      </x:c>
      <x:c r="C3" s="22" t="str">
        <x:v>WARNING</x:v>
      </x:c>
      <x:c r="D3" s="22" t="str">
        <x:v>Single-pole attenuation at switching frequency is only -1.4 dB.</x:v>
      </x:c>
      <x:c r="E3" s="22" t="str">
        <x:v>Use PWM-synchronous sampling and/or a higher-order/digital filter; do not reduce bandwidth blindly.</x:v>
      </x:c>
    </x:row>
    <x:row r="4" ht="26.399999618530273" hidden="0" customHeight="1">
      <x:c r="A4" s="22" t="str">
        <x:v>21_IAC_C_Filter</x:v>
      </x:c>
      <x:c r="B4" s="22" t="str">
        <x:v>AFE_SWITCH_RIPPLE</x:v>
      </x:c>
      <x:c r="C4" s="22" t="str">
        <x:v>WARNING</x:v>
      </x:c>
      <x:c r="D4" s="22" t="str">
        <x:v>Single-pole attenuation at switching frequency is only -1.4 dB.</x:v>
      </x:c>
      <x:c r="E4" s="22" t="str">
        <x:v>Use PWM-synchronous sampling and/or a higher-order/digital filter; do not reduce bandwidth blindly.</x:v>
      </x:c>
    </x:row>
    <x:row r="5" ht="26.399999618530273" hidden="0" customHeight="1">
      <x:c r="A5" s="22" t="str">
        <x:v>42_VAC_A_Filter</x:v>
      </x:c>
      <x:c r="B5" s="22" t="str">
        <x:v>AFE_SWITCH_RIPPLE</x:v>
      </x:c>
      <x:c r="C5" s="22" t="str">
        <x:v>WARNING</x:v>
      </x:c>
      <x:c r="D5" s="22" t="str">
        <x:v>Single-pole attenuation at switching frequency is only -1.7 dB.</x:v>
      </x:c>
      <x:c r="E5" s="22" t="str">
        <x:v>Use PWM-synchronous sampling and/or a higher-order/digital filter; do not reduce bandwidth blindly.</x:v>
      </x:c>
    </x:row>
    <x:row r="6" ht="26.399999618530273" hidden="0" customHeight="1">
      <x:c r="A6" s="22" t="str">
        <x:v>42_VAC_B_Filter</x:v>
      </x:c>
      <x:c r="B6" s="22" t="str">
        <x:v>AFE_SWITCH_RIPPLE</x:v>
      </x:c>
      <x:c r="C6" s="22" t="str">
        <x:v>WARNING</x:v>
      </x:c>
      <x:c r="D6" s="22" t="str">
        <x:v>Single-pole attenuation at switching frequency is only -1.7 dB.</x:v>
      </x:c>
      <x:c r="E6" s="22" t="str">
        <x:v>Use PWM-synchronous sampling and/or a higher-order/digital filter; do not reduce bandwidth blindly.</x:v>
      </x:c>
    </x:row>
    <x:row r="7" ht="26.399999618530273" hidden="0" customHeight="1">
      <x:c r="A7" s="22" t="str">
        <x:v>42_VAC_C_Filter</x:v>
      </x:c>
      <x:c r="B7" s="22" t="str">
        <x:v>AFE_SWITCH_RIPPLE</x:v>
      </x:c>
      <x:c r="C7" s="22" t="str">
        <x:v>WARNING</x:v>
      </x:c>
      <x:c r="D7" s="22" t="str">
        <x:v>Single-pole attenuation at switching frequency is only -1.7 dB.</x:v>
      </x:c>
      <x:c r="E7" s="22" t="str">
        <x:v>Use PWM-synchronous sampling and/or a higher-order/digital filter; do not reduce bandwidth blindly.</x:v>
      </x:c>
    </x:row>
    <x:row r="8" ht="26.399999618530273" hidden="0" customHeight="1">
      <x:c r="A8" s="22" t="str">
        <x:v>30_IDC_Shunt</x:v>
      </x:c>
      <x:c r="B8" s="22" t="str">
        <x:v>IDC_OFFSET_UNKNOWN</x:v>
      </x:c>
      <x:c r="C8" s="22" t="str">
        <x:v>NOT_EVALUATED</x:v>
      </x:c>
      <x:c r="D8" s="22" t="str">
        <x:v>IDC amplifier input offset is not configured.</x:v>
      </x:c>
      <x:c r="E8" s="22" t="str">
        <x:v>Enter the exact device maximum offset before design release.</x:v>
      </x:c>
    </x:row>
    <x:row r="9" ht="26.399999618530273" hidden="0" customHeight="1">
      <x:c r="A9" s="22" t="str">
        <x:v>31_IDC_Filter</x:v>
      </x:c>
      <x:c r="B9" s="22" t="str">
        <x:v>AFE_SWITCH_RIPPLE</x:v>
      </x:c>
      <x:c r="C9" s="22" t="str">
        <x:v>WARNING</x:v>
      </x:c>
      <x:c r="D9" s="22" t="str">
        <x:v>Single-pole attenuation at switching frequency is only -13.4 dB.</x:v>
      </x:c>
      <x:c r="E9" s="22" t="str">
        <x:v>Use PWM-synchronous sampling and/or a higher-order/digital filter; do not reduce bandwidth blindly.</x:v>
      </x:c>
    </x:row>
    <x:row r="10" ht="26.399999618530273" hidden="0" customHeight="1">
      <x:c r="A10" s="22" t="str">
        <x:v>50_ADC_Timing</x:v>
      </x:c>
      <x:c r="B10" s="22" t="str">
        <x:v>ADC_EXACT_MISSING</x:v>
      </x:c>
      <x:c r="C10" s="22" t="str">
        <x:v>NOT_EVALUATED</x:v>
      </x:c>
      <x:c r="D10" s="22" t="str">
        <x:v>Exact ADC acquisition model is not evaluated because MCU internal parameters are not provided.</x:v>
      </x:c>
      <x:c r="E10" s="22" t="str">
        <x:v>Populate exact_sample_capacitance_f, exact_switch_resistance_ohm and exact_source_resistance_ohm.</x:v>
      </x:c>
    </x:row>
    <x:row r="11" ht="26.399999618530273" hidden="0" customHeight="1">
      <x:c r="A11" s="22" t="str">
        <x:v>55_IAC_Delay</x:v>
      </x:c>
      <x:c r="B11" s="22" t="str">
        <x:v>IAC_DELAY_MISSING</x:v>
      </x:c>
      <x:c r="C11" s="22" t="str">
        <x:v>NOT_EVALUATED</x:v>
      </x:c>
      <x:c r="D11" s="22" t="str">
        <x:v>Delay budget is incomplete; missing: adc, isr, pwm.</x:v>
      </x:c>
      <x:c r="E11" s="22" t="str">
        <x:v>Enter worst-case propagation/compute/PWM update delays before closing loop stability analysis.</x:v>
      </x:c>
    </x:row>
    <x:row r="12" ht="26.399999618530273" hidden="0" customHeight="1">
      <x:c r="A12" s="22" t="str">
        <x:v>55_IDC_Delay</x:v>
      </x:c>
      <x:c r="B12" s="22" t="str">
        <x:v>IDC_DELAY_MISSING</x:v>
      </x:c>
      <x:c r="C12" s="22" t="str">
        <x:v>NOT_EVALUATED</x:v>
      </x:c>
      <x:c r="D12" s="22" t="str">
        <x:v>Delay budget is incomplete; missing: isolation, adc, isr, pwm.</x:v>
      </x:c>
      <x:c r="E12" s="22" t="str">
        <x:v>Enter worst-case propagation/compute/PWM update delays before closing loop stability analysis.</x:v>
      </x:c>
    </x:row>
    <x:row r="13" ht="26.399999618530273" hidden="0" customHeight="1">
      <x:c r="A13" s="22" t="str">
        <x:v>55_VAC_Delay</x:v>
      </x:c>
      <x:c r="B13" s="22" t="str">
        <x:v>VAC_DELAY_MISSING</x:v>
      </x:c>
      <x:c r="C13" s="22" t="str">
        <x:v>NOT_EVALUATED</x:v>
      </x:c>
      <x:c r="D13" s="22" t="str">
        <x:v>Delay budget is incomplete; missing: adc, isr, pwm.</x:v>
      </x:c>
      <x:c r="E13" s="22" t="str">
        <x:v>Enter worst-case propagation/compute/PWM update delays before closing loop stability analysis.</x:v>
      </x:c>
    </x:row>
    <x:row r="14" ht="26.399999618530273" hidden="0" customHeight="1">
      <x:c r="A14" s="22" t="str">
        <x:v>55_VDC_Delay</x:v>
      </x:c>
      <x:c r="B14" s="22" t="str">
        <x:v>VDC_DELAY_MISSING</x:v>
      </x:c>
      <x:c r="C14" s="22" t="str">
        <x:v>NOT_EVALUATED</x:v>
      </x:c>
      <x:c r="D14" s="22" t="str">
        <x:v>Delay budget is incomplete; missing: sensor, isolation, adc, isr, pwm.</x:v>
      </x:c>
      <x:c r="E14" s="22" t="str">
        <x:v>Enter worst-case propagation/compute/PWM update delays before closing loop stability analysis.</x:v>
      </x:c>
    </x:row>
    <x:row r="15" ht="26.399999618530273" hidden="0" customHeight="1">
      <x:c r="A15" s="22" t="str">
        <x:v>60_IAC_Error</x:v>
      </x:c>
      <x:c r="B15" s="22" t="str">
        <x:v>IAC_ERROR_MISSING</x:v>
      </x:c>
      <x:c r="C15" s="22" t="str">
        <x:v>NOT_EVALUATED</x:v>
      </x:c>
      <x:c r="D15" s="22" t="str">
        <x:v>No channel error-source data are configured.</x:v>
      </x:c>
      <x:c r="E15" s="22" t="str">
        <x:v>Enter exact device maximum gain/offset/drift/ADC/VREF errors before design release.</x:v>
      </x:c>
    </x:row>
    <x:row r="16" ht="26.399999618530273" hidden="0" customHeight="1">
      <x:c r="A16" s="22" t="str">
        <x:v>60_IDC_Error</x:v>
      </x:c>
      <x:c r="B16" s="22" t="str">
        <x:v>IDC_ERROR_MISSING</x:v>
      </x:c>
      <x:c r="C16" s="22" t="str">
        <x:v>NOT_EVALUATED</x:v>
      </x:c>
      <x:c r="D16" s="22" t="str">
        <x:v>No channel error-source data are configured.</x:v>
      </x:c>
      <x:c r="E16" s="22" t="str">
        <x:v>Enter exact device maximum gain/offset/drift/ADC/VREF errors before design release.</x:v>
      </x:c>
    </x:row>
    <x:row r="17" ht="26.399999618530273" hidden="0" customHeight="1">
      <x:c r="A17" s="22" t="str">
        <x:v>60_VAC_Error</x:v>
      </x:c>
      <x:c r="B17" s="22" t="str">
        <x:v>VAC_ERROR_MISSING</x:v>
      </x:c>
      <x:c r="C17" s="22" t="str">
        <x:v>NOT_EVALUATED</x:v>
      </x:c>
      <x:c r="D17" s="22" t="str">
        <x:v>No channel error-source data are configured.</x:v>
      </x:c>
      <x:c r="E17" s="22" t="str">
        <x:v>Enter exact device maximum gain/offset/drift/ADC/VREF errors before design release.</x:v>
      </x:c>
    </x:row>
    <x:row r="18" ht="26.399999618530273" hidden="0" customHeight="1">
      <x:c r="A18" s="22" t="str">
        <x:v>60_VDC_Error</x:v>
      </x:c>
      <x:c r="B18" s="22" t="str">
        <x:v>VDC_ERROR_MISSING</x:v>
      </x:c>
      <x:c r="C18" s="22" t="str">
        <x:v>NOT_EVALUATED</x:v>
      </x:c>
      <x:c r="D18" s="22" t="str">
        <x:v>No channel error-source data are configured.</x:v>
      </x:c>
      <x:c r="E18" s="22" t="str">
        <x:v>Enter exact device maximum gain/offset/drift/ADC/VREF errors before design release.</x:v>
      </x:c>
    </x:row>
  </x:sheetData>
  <x:conditionalFormatting sqref="C2:C18">
    <x:cfRule type="expression" dxfId="120" priority="1">
      <x:formula>C2="PASS"</x:formula>
    </x:cfRule>
    <x:cfRule type="expression" dxfId="121" priority="2">
      <x:formula>C2="WARNING"</x:formula>
    </x:cfRule>
    <x:cfRule type="expression" dxfId="122" priority="3">
      <x:formula>C2="FAIL"</x:formula>
    </x:cfRule>
    <x:cfRule type="expression" dxfId="123" priority="4">
      <x:formula>C2="NOT_EVALUATED"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a5b48029f8340ce"/>
  </x:tableParts>
</x:worksheet>
</file>

<file path=xl/worksheets/sheet3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34" hidden="0" customWidth="1"/>
  </x:cols>
  <x:sheetData>
    <x:row r="1" ht="15" hidden="0" customHeight="1">
      <x:c r="A1" s="12" t="str">
        <x:v>Parameter/Topic</x:v>
      </x:c>
      <x:c r="B1" s="12" t="str">
        <x:v>Value/Assumption</x:v>
      </x:c>
      <x:c r="C1" s="12" t="str">
        <x:v>Source Type</x:v>
      </x:c>
      <x:c r="D1" s="12" t="str">
        <x:v>Qualification/Action</x:v>
      </x:c>
    </x:row>
    <x:row r="2" ht="26.399999618530273" hidden="0" customHeight="1">
      <x:c r="A2" s="22" t="str">
        <x:v>Three-phase power level</x:v>
      </x:c>
      <x:c r="B2" s="22" t="str">
        <x:v>22 kW</x:v>
      </x:c>
      <x:c r="C2" s="22" t="str">
        <x:v>project-context template</x:v>
      </x:c>
      <x:c r="D2" s="22" t="str">
        <x:v>Replace with the actual platform continuous and overload ratings.</x:v>
      </x:c>
    </x:row>
    <x:row r="3" ht="26.399999618530273" hidden="0" customHeight="1">
      <x:c r="A3" s="22" t="str">
        <x:v>AC voltage range</x:v>
      </x:c>
      <x:c r="B3" s="22" t="str">
        <x:v>304–480 Vrms line-to-line</x:v>
      </x:c>
      <x:c r="C3" s="22" t="str">
        <x:v>provisional engineering example</x:v>
      </x:c>
      <x:c r="D3" s="22" t="str">
        <x:v>Not asserted as a released PMP41186 specification.</x:v>
      </x:c>
    </x:row>
    <x:row r="4" ht="15" hidden="0" customHeight="1">
      <x:c r="A4" s="22" t="str">
        <x:v>DC voltage range</x:v>
      </x:c>
      <x:c r="B4" s="22" t="str">
        <x:v>550–850 V</x:v>
      </x:c>
      <x:c r="C4" s="22" t="str">
        <x:v>provisional engineering example</x:v>
      </x:c>
      <x:c r="D4" s="22" t="str">
        <x:v>Replace with actual battery and surge limits.</x:v>
      </x:c>
    </x:row>
    <x:row r="5" ht="26.399999618530273" hidden="0" customHeight="1">
      <x:c r="A5" s="22" t="str">
        <x:v>Phase-current sensing</x:v>
      </x:c>
      <x:c r="B5" s="22" t="str">
        <x:v>Three direct Hall channels on independent ADC modules</x:v>
      </x:c>
      <x:c r="C5" s="22" t="str">
        <x:v>architecture example</x:v>
      </x:c>
      <x:c r="D5" s="22" t="str">
        <x:v>Confirm F29H85x package pinout, ADC mode and resource allocation.</x:v>
      </x:c>
    </x:row>
    <x:row r="6" ht="39.599998474121094" hidden="0" customHeight="1">
      <x:c r="A6" s="22" t="str">
        <x:v>Phase-voltage sensing</x:v>
      </x:c>
      <x:c r="B6" s="22" t="str">
        <x:v>Three phase-to-neutral channels</x:v>
      </x:c>
      <x:c r="C6" s="22" t="str">
        <x:v>architecture example</x:v>
      </x:c>
      <x:c r="D6" s="22" t="str">
        <x:v>For a three-wire system without neutral, use line-to-line sensing or a validated virtual-neutral network.</x:v>
      </x:c>
    </x:row>
    <x:row r="7" ht="26.399999618530273" hidden="0" customHeight="1">
      <x:c r="A7" s="22" t="str">
        <x:v>Sampling aperture delay</x:v>
      </x:c>
      <x:c r="B7" s="22" t="str">
        <x:v>0 ns for phase currents; up to 60 ns across all configured channels</x:v>
      </x:c>
      <x:c r="C7" s="22" t="str">
        <x:v>provisional timing model</x:v>
      </x:c>
      <x:c r="D7" s="22" t="str">
        <x:v>Replace with measured or data-sheet-bounded aperture timing.</x:v>
      </x:c>
    </x:row>
    <x:row r="8" ht="26.399999618530273" hidden="0" customHeight="1">
      <x:c r="A8" s="22" t="str">
        <x:v>Phase matching limits</x:v>
      </x:c>
      <x:c r="B8" s="22" t="str">
        <x:v>0.2% gain; 5 ADC codes zero mismatch</x:v>
      </x:c>
      <x:c r="C8" s="22" t="str">
        <x:v>engineering default</x:v>
      </x:c>
      <x:c r="D8" s="22" t="str">
        <x:v>Provisional; replace with the control and THD error budget.</x:v>
      </x:c>
    </x:row>
    <x:row r="9" ht="26.399999618530273" hidden="0" customHeight="1">
      <x:c r="A9" s="22" t="str">
        <x:v>Component error budgets</x:v>
      </x:c>
      <x:c r="B9" s="22" t="str">
        <x:v>Empty by default</x:v>
      </x:c>
      <x:c r="C9" s="22" t="str">
        <x:v>fail-closed design rule</x:v>
      </x:c>
      <x:c r="D9" s="22" t="str">
        <x:v>Enter exact maximum errors and drift before design release.</x:v>
      </x:c>
    </x:row>
  </x:sheetData>
  <x:pageMargins left="0.7" right="0.7" top="0.75" bottom="0.75" header="0.3" footer="0.3"/>
  <x:tableParts count="1">
    <x:tablePart xmlns:r="http://schemas.openxmlformats.org/officeDocument/2006/relationships" r:id="R7610219c71a04405"/>
  </x:tableParts>
</x:worksheet>
</file>